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gotzev/Code/macro-framework/dataold/"/>
    </mc:Choice>
  </mc:AlternateContent>
  <xr:revisionPtr revIDLastSave="0" documentId="13_ncr:1_{3AB54694-080A-8047-B298-B35121FD9FC9}" xr6:coauthVersionLast="47" xr6:coauthVersionMax="47" xr10:uidLastSave="{00000000-0000-0000-0000-000000000000}"/>
  <bookViews>
    <workbookView xWindow="280" yWindow="760" windowWidth="28040" windowHeight="17440" activeTab="8" xr2:uid="{C413B9D1-B74C-C247-9D00-5A3410ED818A}"/>
  </bookViews>
  <sheets>
    <sheet name="AAPL" sheetId="1" r:id="rId1"/>
    <sheet name="MSFT" sheetId="2" r:id="rId2"/>
    <sheet name="NVDA" sheetId="3" r:id="rId3"/>
    <sheet name="GOOGL" sheetId="4" r:id="rId4"/>
    <sheet name="AMZN" sheetId="5" r:id="rId5"/>
    <sheet name="NFLX" sheetId="6" r:id="rId6"/>
    <sheet name="META" sheetId="8" r:id="rId7"/>
    <sheet name="AVGO" sheetId="7" r:id="rId8"/>
    <sheet name="TSL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E3" i="9" s="1"/>
  <c r="D4" i="9"/>
  <c r="E4" i="9" s="1"/>
  <c r="D5" i="9"/>
  <c r="E5" i="9" s="1"/>
  <c r="D6" i="9"/>
  <c r="E6" i="9" s="1"/>
  <c r="D7" i="9"/>
  <c r="E7" i="9" s="1"/>
  <c r="D8" i="9"/>
  <c r="E8" i="9" s="1"/>
  <c r="D9" i="9"/>
  <c r="E9" i="9" s="1"/>
  <c r="D10" i="9"/>
  <c r="E10" i="9" s="1"/>
  <c r="D11" i="9"/>
  <c r="E11" i="9" s="1"/>
  <c r="D12" i="9"/>
  <c r="E12" i="9" s="1"/>
  <c r="D13" i="9"/>
  <c r="E13" i="9" s="1"/>
  <c r="D14" i="9"/>
  <c r="E14" i="9" s="1"/>
  <c r="D15" i="9"/>
  <c r="E15" i="9" s="1"/>
  <c r="D16" i="9"/>
  <c r="E16" i="9" s="1"/>
  <c r="D17" i="9"/>
  <c r="E17" i="9" s="1"/>
  <c r="D18" i="9"/>
  <c r="E18" i="9" s="1"/>
  <c r="D19" i="9"/>
  <c r="E19" i="9" s="1"/>
  <c r="D20" i="9"/>
  <c r="E20" i="9" s="1"/>
  <c r="D21" i="9"/>
  <c r="E21" i="9" s="1"/>
  <c r="D22" i="9"/>
  <c r="E22" i="9" s="1"/>
  <c r="D23" i="9"/>
  <c r="E23" i="9" s="1"/>
  <c r="D24" i="9"/>
  <c r="E24" i="9" s="1"/>
  <c r="D25" i="9"/>
  <c r="E25" i="9" s="1"/>
  <c r="D26" i="9"/>
  <c r="E26" i="9" s="1"/>
  <c r="D27" i="9"/>
  <c r="E27" i="9" s="1"/>
  <c r="D28" i="9"/>
  <c r="E28" i="9" s="1"/>
  <c r="D29" i="9"/>
  <c r="E29" i="9" s="1"/>
  <c r="D30" i="9"/>
  <c r="E30" i="9" s="1"/>
  <c r="D31" i="9"/>
  <c r="E31" i="9" s="1"/>
  <c r="D32" i="9"/>
  <c r="E32" i="9" s="1"/>
  <c r="D33" i="9"/>
  <c r="E33" i="9" s="1"/>
  <c r="D34" i="9"/>
  <c r="E34" i="9" s="1"/>
  <c r="D35" i="9"/>
  <c r="E35" i="9" s="1"/>
  <c r="D36" i="9"/>
  <c r="E36" i="9" s="1"/>
  <c r="D37" i="9"/>
  <c r="E37" i="9" s="1"/>
  <c r="D38" i="9"/>
  <c r="E38" i="9" s="1"/>
  <c r="D39" i="9"/>
  <c r="E39" i="9" s="1"/>
  <c r="D40" i="9"/>
  <c r="E40" i="9" s="1"/>
  <c r="D41" i="9"/>
  <c r="E41" i="9" s="1"/>
  <c r="D42" i="9"/>
  <c r="E42" i="9" s="1"/>
  <c r="D43" i="9"/>
  <c r="E43" i="9" s="1"/>
  <c r="D44" i="9"/>
  <c r="E44" i="9" s="1"/>
  <c r="D45" i="9"/>
  <c r="E45" i="9" s="1"/>
  <c r="D46" i="9"/>
  <c r="E46" i="9" s="1"/>
  <c r="D47" i="9"/>
  <c r="E47" i="9" s="1"/>
  <c r="D48" i="9"/>
  <c r="E48" i="9" s="1"/>
  <c r="D49" i="9"/>
  <c r="E49" i="9" s="1"/>
  <c r="D50" i="9"/>
  <c r="E50" i="9" s="1"/>
  <c r="D51" i="9"/>
  <c r="E51" i="9" s="1"/>
  <c r="D52" i="9"/>
  <c r="E52" i="9" s="1"/>
  <c r="D53" i="9"/>
  <c r="E53" i="9" s="1"/>
  <c r="D54" i="9"/>
  <c r="E54" i="9" s="1"/>
  <c r="D55" i="9"/>
  <c r="E55" i="9" s="1"/>
  <c r="D56" i="9"/>
  <c r="E56" i="9" s="1"/>
  <c r="D57" i="9"/>
  <c r="E57" i="9" s="1"/>
  <c r="D58" i="9"/>
  <c r="E58" i="9" s="1"/>
  <c r="D2" i="9"/>
  <c r="E2" i="9" s="1"/>
  <c r="D3" i="7"/>
  <c r="E3" i="7" s="1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0" i="7"/>
  <c r="E50" i="7" s="1"/>
  <c r="D51" i="7"/>
  <c r="E51" i="7" s="1"/>
  <c r="D52" i="7"/>
  <c r="E52" i="7" s="1"/>
  <c r="D53" i="7"/>
  <c r="E53" i="7" s="1"/>
  <c r="D54" i="7"/>
  <c r="E54" i="7" s="1"/>
  <c r="D55" i="7"/>
  <c r="E55" i="7" s="1"/>
  <c r="D56" i="7"/>
  <c r="E56" i="7" s="1"/>
  <c r="D57" i="7"/>
  <c r="E57" i="7" s="1"/>
  <c r="D2" i="7"/>
  <c r="E2" i="7" s="1"/>
  <c r="D50" i="8"/>
  <c r="E50" i="8" s="1"/>
  <c r="D51" i="8"/>
  <c r="E51" i="8" s="1"/>
  <c r="D52" i="8"/>
  <c r="E52" i="8" s="1"/>
  <c r="D53" i="8"/>
  <c r="E53" i="8" s="1"/>
  <c r="D3" i="8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E36" i="8" s="1"/>
  <c r="D37" i="8"/>
  <c r="E37" i="8" s="1"/>
  <c r="D38" i="8"/>
  <c r="E38" i="8" s="1"/>
  <c r="D39" i="8"/>
  <c r="E39" i="8" s="1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2" i="8"/>
  <c r="E2" i="8" s="1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2" i="6"/>
  <c r="E2" i="6" s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2" i="4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2" i="3"/>
  <c r="E2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" i="1"/>
</calcChain>
</file>

<file path=xl/sharedStrings.xml><?xml version="1.0" encoding="utf-8"?>
<sst xmlns="http://schemas.openxmlformats.org/spreadsheetml/2006/main" count="63" uniqueCount="16">
  <si>
    <t>Date</t>
  </si>
  <si>
    <t>EPS</t>
  </si>
  <si>
    <t>TTM</t>
  </si>
  <si>
    <t>PE-Ratio</t>
  </si>
  <si>
    <t>AAPL</t>
  </si>
  <si>
    <t>PE Ratio</t>
  </si>
  <si>
    <t>MSFT</t>
  </si>
  <si>
    <t>NVDA</t>
  </si>
  <si>
    <t>GOOGL</t>
  </si>
  <si>
    <t>AMZN</t>
  </si>
  <si>
    <t>Revenue</t>
  </si>
  <si>
    <t>NFLX</t>
  </si>
  <si>
    <t>META</t>
  </si>
  <si>
    <t>AVGO</t>
  </si>
  <si>
    <t>TSLA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</si>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</sst>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2" fontId="0" fillId="0" borderId="0" xfId="0" applyNumberFormat="1"/>
    <xf numFmtId="6" fontId="0" fillId="0" borderId="0" xfId="0" applyNumberFormat="1"/>
    <xf numFmtId="3" fontId="0" fillId="0" borderId="0" xfId="0" applyNumberFormat="1"/>
    <xf numFmtId="3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DF5C-C49A-4544-99A8-8A2355C09059}">
  <dimension ref="A1:G78"/>
  <sheetViews>
    <sheetView showGridLines="0" workbookViewId="0">
      <pane ySplit="1" topLeftCell="A26" activePane="bottomLeft" state="frozen"/>
      <selection pane="bottomLeft" sqref="A1:G61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10</v>
      </c>
      <c r="G1" s="7" t="s">
        <v>15</v>
      </c>
    </row>
    <row r="2" spans="1:7" x14ac:dyDescent="0.2">
      <c r="A2" s="1">
        <v>46022</v>
      </c>
      <c r="B2" s="3">
        <v>271.61</v>
      </c>
      <c r="C2" s="3">
        <v>2.84</v>
      </c>
      <c r="D2" s="3">
        <f>SUM(C2:C5)</f>
        <v>7.9</v>
      </c>
      <c r="E2" s="3">
        <f>IFERROR(B2/D2,"")</f>
        <v>34.381012658227846</v>
      </c>
      <c r="F2" s="6">
        <v>143756</v>
      </c>
      <c r="G2" s="5">
        <v>14810</v>
      </c>
    </row>
    <row r="3" spans="1:7" x14ac:dyDescent="0.2">
      <c r="A3" s="1">
        <v>45930</v>
      </c>
      <c r="B3" s="3">
        <v>254.15</v>
      </c>
      <c r="C3" s="3">
        <v>1.84</v>
      </c>
      <c r="D3" s="3">
        <f t="shared" ref="D3:D58" si="0">SUM(C3:C6)</f>
        <v>7.4600000000000009</v>
      </c>
      <c r="E3" s="3">
        <f t="shared" ref="E3:E58" si="1">IFERROR(B3/D3,"")</f>
        <v>34.068364611260051</v>
      </c>
      <c r="F3" s="6">
        <v>102466</v>
      </c>
      <c r="G3" s="5">
        <v>15005</v>
      </c>
    </row>
    <row r="4" spans="1:7" x14ac:dyDescent="0.2">
      <c r="A4" s="1">
        <v>45838</v>
      </c>
      <c r="B4" s="3">
        <v>204.55</v>
      </c>
      <c r="C4" s="3">
        <v>1.57</v>
      </c>
      <c r="D4" s="3">
        <f t="shared" si="0"/>
        <v>6.589999999999999</v>
      </c>
      <c r="E4" s="3">
        <f t="shared" si="1"/>
        <v>31.039453717754178</v>
      </c>
      <c r="F4" s="6">
        <v>94036</v>
      </c>
      <c r="G4" s="5">
        <v>14948</v>
      </c>
    </row>
    <row r="5" spans="1:7" x14ac:dyDescent="0.2">
      <c r="A5" s="1">
        <v>45747</v>
      </c>
      <c r="B5" s="3">
        <v>221.17</v>
      </c>
      <c r="C5" s="3">
        <v>1.65</v>
      </c>
      <c r="D5" s="3">
        <f t="shared" si="0"/>
        <v>6.42</v>
      </c>
      <c r="E5" s="3">
        <f t="shared" si="1"/>
        <v>34.450155763239877</v>
      </c>
      <c r="F5" s="6">
        <v>95359</v>
      </c>
      <c r="G5" s="5">
        <v>15056</v>
      </c>
    </row>
    <row r="6" spans="1:7" x14ac:dyDescent="0.2">
      <c r="A6" s="1">
        <v>45657</v>
      </c>
      <c r="B6" s="3">
        <v>249.06</v>
      </c>
      <c r="C6" s="3">
        <v>2.4</v>
      </c>
      <c r="D6" s="3">
        <f t="shared" si="0"/>
        <v>6.3</v>
      </c>
      <c r="E6" s="3">
        <f t="shared" si="1"/>
        <v>39.533333333333331</v>
      </c>
      <c r="F6" s="6">
        <v>124300</v>
      </c>
      <c r="G6" s="5">
        <v>15151</v>
      </c>
    </row>
    <row r="7" spans="1:7" x14ac:dyDescent="0.2">
      <c r="A7" s="1">
        <v>45565</v>
      </c>
      <c r="B7" s="3">
        <v>231.48</v>
      </c>
      <c r="C7" s="3">
        <v>0.97</v>
      </c>
      <c r="D7" s="3">
        <f t="shared" si="0"/>
        <v>6.08</v>
      </c>
      <c r="E7" s="3">
        <f t="shared" si="1"/>
        <v>38.07236842105263</v>
      </c>
      <c r="F7" s="6">
        <v>94930</v>
      </c>
      <c r="G7" s="5">
        <v>15408</v>
      </c>
    </row>
    <row r="8" spans="1:7" x14ac:dyDescent="0.2">
      <c r="A8" s="1">
        <v>45473</v>
      </c>
      <c r="B8" s="3">
        <v>209</v>
      </c>
      <c r="C8" s="3">
        <v>1.4</v>
      </c>
      <c r="D8" s="3">
        <f t="shared" si="0"/>
        <v>6.5799999999999992</v>
      </c>
      <c r="E8" s="3">
        <f t="shared" si="1"/>
        <v>31.762917933130701</v>
      </c>
      <c r="F8" s="6">
        <v>85777</v>
      </c>
      <c r="G8" s="5">
        <v>15348</v>
      </c>
    </row>
    <row r="9" spans="1:7" x14ac:dyDescent="0.2">
      <c r="A9" s="1">
        <v>45382</v>
      </c>
      <c r="B9" s="3">
        <v>169.93</v>
      </c>
      <c r="C9" s="3">
        <v>1.53</v>
      </c>
      <c r="D9" s="3">
        <f t="shared" si="0"/>
        <v>6.4399999999999995</v>
      </c>
      <c r="E9" s="3">
        <f t="shared" si="1"/>
        <v>26.386645962732921</v>
      </c>
      <c r="F9" s="6">
        <v>90753</v>
      </c>
      <c r="G9" s="5">
        <v>15465</v>
      </c>
    </row>
    <row r="10" spans="1:7" x14ac:dyDescent="0.2">
      <c r="A10" s="1">
        <v>45291</v>
      </c>
      <c r="B10" s="3">
        <v>190.55</v>
      </c>
      <c r="C10" s="3">
        <v>2.1800000000000002</v>
      </c>
      <c r="D10" s="3">
        <f t="shared" si="0"/>
        <v>6.43</v>
      </c>
      <c r="E10" s="3">
        <f t="shared" si="1"/>
        <v>29.634525660964233</v>
      </c>
      <c r="F10" s="6">
        <v>119575</v>
      </c>
      <c r="G10" s="5">
        <v>15577</v>
      </c>
    </row>
    <row r="11" spans="1:7" x14ac:dyDescent="0.2">
      <c r="A11" s="1">
        <v>45199</v>
      </c>
      <c r="B11" s="3">
        <v>169.23</v>
      </c>
      <c r="C11" s="3">
        <v>1.47</v>
      </c>
      <c r="D11" s="3">
        <f t="shared" si="0"/>
        <v>6.13</v>
      </c>
      <c r="E11" s="3">
        <f t="shared" si="1"/>
        <v>27.606851549755302</v>
      </c>
      <c r="F11" s="6">
        <v>89498</v>
      </c>
      <c r="G11" s="5">
        <v>15813</v>
      </c>
    </row>
    <row r="12" spans="1:7" x14ac:dyDescent="0.2">
      <c r="A12" s="1">
        <v>45107</v>
      </c>
      <c r="B12" s="3">
        <v>191.46</v>
      </c>
      <c r="C12" s="3">
        <v>1.26</v>
      </c>
      <c r="D12" s="3">
        <f t="shared" si="0"/>
        <v>5.95</v>
      </c>
      <c r="E12" s="3">
        <f t="shared" si="1"/>
        <v>32.178151260504201</v>
      </c>
      <c r="F12" s="6">
        <v>81797</v>
      </c>
      <c r="G12" s="5">
        <v>15775</v>
      </c>
    </row>
    <row r="13" spans="1:7" x14ac:dyDescent="0.2">
      <c r="A13" s="1">
        <v>45016</v>
      </c>
      <c r="B13" s="3">
        <v>162.55000000000001</v>
      </c>
      <c r="C13" s="3">
        <v>1.52</v>
      </c>
      <c r="D13" s="3">
        <f t="shared" si="0"/>
        <v>5.89</v>
      </c>
      <c r="E13" s="3">
        <f t="shared" si="1"/>
        <v>27.597623089983024</v>
      </c>
      <c r="F13" s="6">
        <v>94836</v>
      </c>
      <c r="G13" s="5">
        <v>15847</v>
      </c>
    </row>
    <row r="14" spans="1:7" x14ac:dyDescent="0.2">
      <c r="A14" s="1">
        <v>44926</v>
      </c>
      <c r="B14" s="3">
        <v>127.88</v>
      </c>
      <c r="C14" s="3">
        <v>1.88</v>
      </c>
      <c r="D14" s="3">
        <f t="shared" si="0"/>
        <v>5.8900000000000006</v>
      </c>
      <c r="E14" s="3">
        <f t="shared" si="1"/>
        <v>21.711375212224105</v>
      </c>
      <c r="F14" s="6">
        <v>117154</v>
      </c>
      <c r="G14" s="5">
        <v>15956</v>
      </c>
    </row>
    <row r="15" spans="1:7" x14ac:dyDescent="0.2">
      <c r="A15" s="1">
        <v>44834</v>
      </c>
      <c r="B15" s="3">
        <v>135.79</v>
      </c>
      <c r="C15" s="3">
        <v>1.29</v>
      </c>
      <c r="D15" s="3">
        <f t="shared" si="0"/>
        <v>6.1099999999999994</v>
      </c>
      <c r="E15" s="3">
        <f t="shared" si="1"/>
        <v>22.224222585924714</v>
      </c>
      <c r="F15" s="6">
        <v>90146</v>
      </c>
      <c r="G15" s="5">
        <v>16326</v>
      </c>
    </row>
    <row r="16" spans="1:7" x14ac:dyDescent="0.2">
      <c r="A16" s="1">
        <v>44742</v>
      </c>
      <c r="B16" s="3">
        <v>134.15</v>
      </c>
      <c r="C16" s="3">
        <v>1.2</v>
      </c>
      <c r="D16" s="3">
        <f t="shared" si="0"/>
        <v>6.0500000000000007</v>
      </c>
      <c r="E16" s="3">
        <f t="shared" si="1"/>
        <v>22.173553719008265</v>
      </c>
      <c r="F16" s="6">
        <v>82959</v>
      </c>
      <c r="G16" s="5">
        <v>16262</v>
      </c>
    </row>
    <row r="17" spans="1:7" x14ac:dyDescent="0.2">
      <c r="A17" s="1">
        <v>44651</v>
      </c>
      <c r="B17" s="3">
        <v>171.08</v>
      </c>
      <c r="C17" s="3">
        <v>1.52</v>
      </c>
      <c r="D17" s="3">
        <f t="shared" si="0"/>
        <v>6.1499999999999995</v>
      </c>
      <c r="E17" s="3">
        <f t="shared" si="1"/>
        <v>27.817886178861794</v>
      </c>
      <c r="F17" s="6">
        <v>97278</v>
      </c>
      <c r="G17" s="5">
        <v>16403</v>
      </c>
    </row>
    <row r="18" spans="1:7" x14ac:dyDescent="0.2">
      <c r="A18" s="1">
        <v>44561</v>
      </c>
      <c r="B18" s="3">
        <v>173.76</v>
      </c>
      <c r="C18" s="3">
        <v>2.1</v>
      </c>
      <c r="D18" s="3">
        <f t="shared" si="0"/>
        <v>6.0299999999999994</v>
      </c>
      <c r="E18" s="3">
        <f t="shared" si="1"/>
        <v>28.815920398009951</v>
      </c>
      <c r="F18" s="6">
        <v>123945</v>
      </c>
      <c r="G18" s="5">
        <v>16519</v>
      </c>
    </row>
    <row r="19" spans="1:7" x14ac:dyDescent="0.2">
      <c r="A19" s="1">
        <v>44469</v>
      </c>
      <c r="B19" s="3">
        <v>138.26</v>
      </c>
      <c r="C19" s="3">
        <v>1.23</v>
      </c>
      <c r="D19" s="3">
        <f t="shared" si="0"/>
        <v>5.61</v>
      </c>
      <c r="E19" s="3">
        <f t="shared" si="1"/>
        <v>24.645276292335112</v>
      </c>
      <c r="F19" s="6">
        <v>83360</v>
      </c>
      <c r="G19" s="5">
        <v>16865</v>
      </c>
    </row>
    <row r="20" spans="1:7" x14ac:dyDescent="0.2">
      <c r="A20" s="1">
        <v>44377</v>
      </c>
      <c r="B20" s="3">
        <v>133.63</v>
      </c>
      <c r="C20" s="3">
        <v>1.3</v>
      </c>
      <c r="D20" s="3">
        <f t="shared" si="0"/>
        <v>5.12</v>
      </c>
      <c r="E20" s="3">
        <f t="shared" si="1"/>
        <v>26.099609375</v>
      </c>
      <c r="F20" s="6">
        <v>81434</v>
      </c>
      <c r="G20" s="5">
        <v>16782</v>
      </c>
    </row>
    <row r="21" spans="1:7" x14ac:dyDescent="0.2">
      <c r="A21" s="1">
        <v>44286</v>
      </c>
      <c r="B21" s="3">
        <v>118.97</v>
      </c>
      <c r="C21" s="3">
        <v>1.4</v>
      </c>
      <c r="D21" s="3">
        <f t="shared" si="0"/>
        <v>4.4700000000000006</v>
      </c>
      <c r="E21" s="3">
        <f t="shared" si="1"/>
        <v>26.6152125279642</v>
      </c>
      <c r="F21" s="6">
        <v>89584</v>
      </c>
      <c r="G21" s="5">
        <v>16929</v>
      </c>
    </row>
    <row r="22" spans="1:7" x14ac:dyDescent="0.2">
      <c r="A22" s="1">
        <v>44196</v>
      </c>
      <c r="B22" s="3">
        <v>129.05000000000001</v>
      </c>
      <c r="C22" s="3">
        <v>1.68</v>
      </c>
      <c r="D22" s="3">
        <f t="shared" si="0"/>
        <v>3.71</v>
      </c>
      <c r="E22" s="3">
        <f t="shared" si="1"/>
        <v>34.784366576819409</v>
      </c>
      <c r="F22" s="6">
        <v>111439</v>
      </c>
      <c r="G22" s="5">
        <v>17114</v>
      </c>
    </row>
    <row r="23" spans="1:7" x14ac:dyDescent="0.2">
      <c r="A23" s="1">
        <v>44104</v>
      </c>
      <c r="B23" s="3">
        <v>112.44</v>
      </c>
      <c r="C23" s="3">
        <v>0.74</v>
      </c>
      <c r="D23" s="3">
        <f t="shared" si="0"/>
        <v>3.2800000000000002</v>
      </c>
      <c r="E23" s="3">
        <f t="shared" si="1"/>
        <v>34.280487804878042</v>
      </c>
      <c r="F23" s="6">
        <v>64698</v>
      </c>
      <c r="G23" s="5">
        <v>17528</v>
      </c>
    </row>
    <row r="24" spans="1:7" x14ac:dyDescent="0.2">
      <c r="A24" s="1">
        <v>44012</v>
      </c>
      <c r="B24" s="3">
        <v>88.38</v>
      </c>
      <c r="C24" s="3">
        <v>0.65</v>
      </c>
      <c r="D24" s="3">
        <f t="shared" si="0"/>
        <v>3.31</v>
      </c>
      <c r="E24" s="3">
        <f t="shared" si="1"/>
        <v>26.700906344410875</v>
      </c>
      <c r="F24" s="6">
        <v>59685</v>
      </c>
      <c r="G24" s="5">
        <v>17419</v>
      </c>
    </row>
    <row r="25" spans="1:7" x14ac:dyDescent="0.2">
      <c r="A25" s="1">
        <v>43921</v>
      </c>
      <c r="B25" s="3">
        <v>61.44</v>
      </c>
      <c r="C25" s="3">
        <v>0.64</v>
      </c>
      <c r="D25" s="3">
        <f t="shared" si="0"/>
        <v>3.21</v>
      </c>
      <c r="E25" s="3">
        <f t="shared" si="1"/>
        <v>19.140186915887849</v>
      </c>
      <c r="F25" s="6">
        <v>58313</v>
      </c>
      <c r="G25" s="5">
        <v>17619</v>
      </c>
    </row>
    <row r="26" spans="1:7" x14ac:dyDescent="0.2">
      <c r="A26" s="1">
        <v>43830</v>
      </c>
      <c r="B26" s="3">
        <v>70.790000000000006</v>
      </c>
      <c r="C26" s="3">
        <v>1.25</v>
      </c>
      <c r="D26" s="3">
        <f t="shared" si="0"/>
        <v>3.1900000000000004</v>
      </c>
      <c r="E26" s="3">
        <f t="shared" si="1"/>
        <v>22.191222570532915</v>
      </c>
      <c r="F26" s="6">
        <v>91819</v>
      </c>
      <c r="G26" s="5">
        <v>17818</v>
      </c>
    </row>
    <row r="27" spans="1:7" x14ac:dyDescent="0.2">
      <c r="A27" s="1">
        <v>43738</v>
      </c>
      <c r="B27" s="3">
        <v>53.83</v>
      </c>
      <c r="C27" s="3">
        <v>0.77</v>
      </c>
      <c r="D27" s="3">
        <f t="shared" si="0"/>
        <v>2.99</v>
      </c>
      <c r="E27" s="3">
        <f t="shared" si="1"/>
        <v>18.00334448160535</v>
      </c>
      <c r="F27" s="6">
        <v>64040</v>
      </c>
      <c r="G27" s="5">
        <v>18596</v>
      </c>
    </row>
    <row r="28" spans="1:7" x14ac:dyDescent="0.2">
      <c r="A28" s="1">
        <v>43646</v>
      </c>
      <c r="B28" s="3">
        <v>47.39</v>
      </c>
      <c r="C28" s="3">
        <v>0.55000000000000004</v>
      </c>
      <c r="D28" s="3">
        <f t="shared" si="0"/>
        <v>2.96</v>
      </c>
      <c r="E28" s="3">
        <f t="shared" si="1"/>
        <v>16.010135135135137</v>
      </c>
      <c r="F28" s="6">
        <v>53809</v>
      </c>
      <c r="G28" s="5">
        <v>18406</v>
      </c>
    </row>
    <row r="29" spans="1:7" x14ac:dyDescent="0.2">
      <c r="A29" s="1">
        <v>43555</v>
      </c>
      <c r="B29" s="3">
        <v>45.3</v>
      </c>
      <c r="C29" s="3">
        <v>0.62</v>
      </c>
      <c r="D29" s="3">
        <f t="shared" si="0"/>
        <v>3</v>
      </c>
      <c r="E29" s="3">
        <f t="shared" si="1"/>
        <v>15.1</v>
      </c>
      <c r="F29" s="6">
        <v>58015</v>
      </c>
      <c r="G29" s="5">
        <v>18803</v>
      </c>
    </row>
    <row r="30" spans="1:7" x14ac:dyDescent="0.2">
      <c r="A30" s="1">
        <v>43465</v>
      </c>
      <c r="B30" s="3">
        <v>37.46</v>
      </c>
      <c r="C30" s="3">
        <v>1.05</v>
      </c>
      <c r="D30" s="3">
        <f t="shared" si="0"/>
        <v>3.06</v>
      </c>
      <c r="E30" s="3">
        <f t="shared" si="1"/>
        <v>12.241830065359478</v>
      </c>
      <c r="F30" s="6">
        <v>84310</v>
      </c>
      <c r="G30" s="5">
        <v>19093</v>
      </c>
    </row>
    <row r="31" spans="1:7" x14ac:dyDescent="0.2">
      <c r="A31" s="1">
        <v>43373</v>
      </c>
      <c r="B31" s="3">
        <v>53.42</v>
      </c>
      <c r="C31" s="3">
        <v>0.74</v>
      </c>
      <c r="D31" s="3">
        <f t="shared" si="0"/>
        <v>2.9800000000000004</v>
      </c>
      <c r="E31" s="3">
        <f t="shared" si="1"/>
        <v>17.926174496644293</v>
      </c>
      <c r="F31" s="6">
        <v>62900</v>
      </c>
      <c r="G31" s="5">
        <v>20000</v>
      </c>
    </row>
    <row r="32" spans="1:7" x14ac:dyDescent="0.2">
      <c r="A32" s="1">
        <v>43281</v>
      </c>
      <c r="B32" s="3">
        <v>43.66</v>
      </c>
      <c r="C32" s="3">
        <v>0.59</v>
      </c>
      <c r="D32" s="3">
        <f t="shared" si="0"/>
        <v>2.7600000000000002</v>
      </c>
      <c r="E32" s="3">
        <f t="shared" si="1"/>
        <v>15.818840579710143</v>
      </c>
      <c r="F32" s="6">
        <v>53265</v>
      </c>
      <c r="G32" s="5">
        <v>19706</v>
      </c>
    </row>
    <row r="33" spans="1:7" x14ac:dyDescent="0.2">
      <c r="A33" s="1">
        <v>43190</v>
      </c>
      <c r="B33" s="3">
        <v>39.42</v>
      </c>
      <c r="C33" s="3">
        <v>0.68</v>
      </c>
      <c r="D33" s="3">
        <f t="shared" si="0"/>
        <v>2.59</v>
      </c>
      <c r="E33" s="3">
        <f t="shared" si="1"/>
        <v>15.220077220077222</v>
      </c>
      <c r="F33" s="6">
        <v>61137</v>
      </c>
      <c r="G33" s="5">
        <v>20274</v>
      </c>
    </row>
    <row r="34" spans="1:7" x14ac:dyDescent="0.2">
      <c r="A34" s="1">
        <v>43100</v>
      </c>
      <c r="B34" s="3">
        <v>39.6</v>
      </c>
      <c r="C34" s="3">
        <v>0.97</v>
      </c>
      <c r="D34" s="3">
        <f t="shared" si="0"/>
        <v>2.44</v>
      </c>
      <c r="E34" s="3">
        <f t="shared" si="1"/>
        <v>16.229508196721312</v>
      </c>
      <c r="F34" s="6">
        <v>88293</v>
      </c>
      <c r="G34" s="5">
        <v>20631</v>
      </c>
    </row>
    <row r="35" spans="1:7" x14ac:dyDescent="0.2">
      <c r="A35" s="1">
        <v>43008</v>
      </c>
      <c r="B35" s="3">
        <v>35.93</v>
      </c>
      <c r="C35" s="3">
        <v>0.52</v>
      </c>
      <c r="D35" s="3">
        <f t="shared" si="0"/>
        <v>2.31</v>
      </c>
      <c r="E35" s="3">
        <f t="shared" si="1"/>
        <v>15.554112554112553</v>
      </c>
      <c r="F35" s="6">
        <v>52579</v>
      </c>
      <c r="G35" s="5">
        <v>21007</v>
      </c>
    </row>
    <row r="36" spans="1:7" x14ac:dyDescent="0.2">
      <c r="A36" s="1">
        <v>42916</v>
      </c>
      <c r="B36" s="3">
        <v>33.44</v>
      </c>
      <c r="C36" s="3">
        <v>0.42</v>
      </c>
      <c r="D36" s="3">
        <f t="shared" si="0"/>
        <v>2.2200000000000002</v>
      </c>
      <c r="E36" s="3">
        <f t="shared" si="1"/>
        <v>15.06306306306306</v>
      </c>
      <c r="F36" s="6">
        <v>45408</v>
      </c>
      <c r="G36" s="5">
        <v>20934</v>
      </c>
    </row>
    <row r="37" spans="1:7" x14ac:dyDescent="0.2">
      <c r="A37" s="1">
        <v>42825</v>
      </c>
      <c r="B37" s="3">
        <v>33.22</v>
      </c>
      <c r="C37" s="3">
        <v>0.53</v>
      </c>
      <c r="D37" s="3">
        <f t="shared" si="0"/>
        <v>2.16</v>
      </c>
      <c r="E37" s="3">
        <f t="shared" si="1"/>
        <v>15.379629629629628</v>
      </c>
      <c r="F37" s="6">
        <v>52896</v>
      </c>
      <c r="G37" s="5">
        <v>21047</v>
      </c>
    </row>
    <row r="38" spans="1:7" x14ac:dyDescent="0.2">
      <c r="A38" s="1">
        <v>42735</v>
      </c>
      <c r="B38" s="3">
        <v>26.67</v>
      </c>
      <c r="C38" s="3">
        <v>0.84</v>
      </c>
      <c r="D38" s="3">
        <f t="shared" si="0"/>
        <v>2.11</v>
      </c>
      <c r="E38" s="3">
        <f t="shared" si="1"/>
        <v>12.639810426540286</v>
      </c>
      <c r="F38" s="6">
        <v>78351</v>
      </c>
      <c r="G38" s="5">
        <v>21312</v>
      </c>
    </row>
    <row r="39" spans="1:7" x14ac:dyDescent="0.2">
      <c r="A39" s="1">
        <v>42643</v>
      </c>
      <c r="B39" s="3">
        <v>25.9</v>
      </c>
      <c r="C39" s="3">
        <v>0.43</v>
      </c>
      <c r="D39" s="3">
        <f t="shared" si="0"/>
        <v>2.09</v>
      </c>
      <c r="E39" s="3">
        <f t="shared" si="1"/>
        <v>12.392344497607656</v>
      </c>
      <c r="F39" s="6">
        <v>46852</v>
      </c>
      <c r="G39" s="5">
        <v>22001</v>
      </c>
    </row>
    <row r="40" spans="1:7" x14ac:dyDescent="0.2">
      <c r="A40" s="1">
        <v>42551</v>
      </c>
      <c r="B40" s="3">
        <v>21.78</v>
      </c>
      <c r="C40" s="3">
        <v>0.36</v>
      </c>
      <c r="D40" s="3">
        <f t="shared" si="0"/>
        <v>2.16</v>
      </c>
      <c r="E40" s="3">
        <f t="shared" si="1"/>
        <v>10.083333333333334</v>
      </c>
      <c r="F40" s="6">
        <v>42358</v>
      </c>
      <c r="G40" s="5">
        <v>21891</v>
      </c>
    </row>
    <row r="41" spans="1:7" x14ac:dyDescent="0.2">
      <c r="A41" s="1">
        <v>42460</v>
      </c>
      <c r="B41" s="3">
        <v>24.68</v>
      </c>
      <c r="C41" s="3">
        <v>0.48</v>
      </c>
      <c r="D41" s="3">
        <f t="shared" si="0"/>
        <v>2.2599999999999998</v>
      </c>
      <c r="E41" s="3">
        <f t="shared" si="1"/>
        <v>10.920353982300886</v>
      </c>
      <c r="F41" s="6">
        <v>50557</v>
      </c>
      <c r="G41" s="5">
        <v>22164</v>
      </c>
    </row>
    <row r="42" spans="1:7" x14ac:dyDescent="0.2">
      <c r="A42" s="1">
        <v>42369</v>
      </c>
      <c r="B42" s="3">
        <v>23.71</v>
      </c>
      <c r="C42" s="3">
        <v>0.82</v>
      </c>
      <c r="D42" s="3">
        <f t="shared" si="0"/>
        <v>2.36</v>
      </c>
      <c r="E42" s="3">
        <f t="shared" si="1"/>
        <v>10.046610169491526</v>
      </c>
      <c r="F42" s="6">
        <v>75872</v>
      </c>
      <c r="G42" s="5">
        <v>22377</v>
      </c>
    </row>
    <row r="43" spans="1:7" x14ac:dyDescent="0.2">
      <c r="A43" s="1">
        <v>42277</v>
      </c>
      <c r="B43" s="3">
        <v>24.74</v>
      </c>
      <c r="C43" s="3">
        <v>0.5</v>
      </c>
      <c r="D43" s="3">
        <f t="shared" si="0"/>
        <v>2.31</v>
      </c>
      <c r="E43" s="3">
        <f t="shared" si="1"/>
        <v>10.709956709956709</v>
      </c>
      <c r="F43" s="6">
        <v>51501</v>
      </c>
      <c r="G43" s="5">
        <v>23172</v>
      </c>
    </row>
    <row r="44" spans="1:7" x14ac:dyDescent="0.2">
      <c r="A44" s="1">
        <v>42185</v>
      </c>
      <c r="B44" s="3">
        <v>28.01</v>
      </c>
      <c r="C44" s="3">
        <v>0.46</v>
      </c>
      <c r="D44" s="3">
        <f t="shared" si="0"/>
        <v>2.17</v>
      </c>
      <c r="E44" s="3">
        <f t="shared" si="1"/>
        <v>12.907834101382489</v>
      </c>
      <c r="F44" s="6">
        <v>49605</v>
      </c>
      <c r="G44" s="5">
        <v>23092</v>
      </c>
    </row>
    <row r="45" spans="1:7" x14ac:dyDescent="0.2">
      <c r="A45" s="1">
        <v>42094</v>
      </c>
      <c r="B45" s="3">
        <v>27.67</v>
      </c>
      <c r="C45" s="3">
        <v>0.57999999999999996</v>
      </c>
      <c r="D45" s="3">
        <f t="shared" si="0"/>
        <v>2.0299999999999998</v>
      </c>
      <c r="E45" s="3">
        <f t="shared" si="1"/>
        <v>13.630541871921185</v>
      </c>
      <c r="F45" s="6">
        <v>58010</v>
      </c>
      <c r="G45" s="5">
        <v>23339</v>
      </c>
    </row>
    <row r="46" spans="1:7" x14ac:dyDescent="0.2">
      <c r="A46" s="1">
        <v>42004</v>
      </c>
      <c r="B46" s="3">
        <v>24.45</v>
      </c>
      <c r="C46" s="3">
        <v>0.77</v>
      </c>
      <c r="D46" s="3">
        <f t="shared" si="0"/>
        <v>1.8699999999999999</v>
      </c>
      <c r="E46" s="3">
        <f t="shared" si="1"/>
        <v>13.074866310160429</v>
      </c>
      <c r="F46" s="6">
        <v>74599</v>
      </c>
      <c r="G46" s="5">
        <v>23527</v>
      </c>
    </row>
    <row r="47" spans="1:7" x14ac:dyDescent="0.2">
      <c r="A47" s="1">
        <v>41912</v>
      </c>
      <c r="B47" s="3">
        <v>22.22</v>
      </c>
      <c r="C47" s="3">
        <v>0.36</v>
      </c>
      <c r="D47" s="3">
        <f t="shared" si="0"/>
        <v>1.6199999999999999</v>
      </c>
      <c r="E47" s="3">
        <f t="shared" si="1"/>
        <v>13.716049382716049</v>
      </c>
      <c r="F47" s="6">
        <v>42123</v>
      </c>
      <c r="G47" s="5">
        <v>24491</v>
      </c>
    </row>
    <row r="48" spans="1:7" x14ac:dyDescent="0.2">
      <c r="A48" s="1">
        <v>41820</v>
      </c>
      <c r="B48" s="3">
        <v>20.39</v>
      </c>
      <c r="C48" s="3">
        <v>0.32</v>
      </c>
      <c r="D48" s="3">
        <f t="shared" si="0"/>
        <v>1.56</v>
      </c>
      <c r="E48" s="3">
        <f t="shared" si="1"/>
        <v>13.070512820512821</v>
      </c>
      <c r="F48" s="6">
        <v>37432</v>
      </c>
      <c r="G48" s="5">
        <v>24207</v>
      </c>
    </row>
    <row r="49" spans="1:7" x14ac:dyDescent="0.2">
      <c r="A49" s="1">
        <v>41729</v>
      </c>
      <c r="B49" s="3">
        <v>16.73</v>
      </c>
      <c r="C49" s="3">
        <v>0.42</v>
      </c>
      <c r="D49" s="3">
        <f t="shared" si="0"/>
        <v>1.51</v>
      </c>
      <c r="E49" s="3">
        <f t="shared" si="1"/>
        <v>11.079470198675496</v>
      </c>
      <c r="F49" s="6">
        <v>45646</v>
      </c>
      <c r="G49" s="5">
        <v>24627</v>
      </c>
    </row>
    <row r="50" spans="1:7" x14ac:dyDescent="0.2">
      <c r="A50" s="1">
        <v>41639</v>
      </c>
      <c r="B50" s="3">
        <v>17.39</v>
      </c>
      <c r="C50" s="3">
        <v>0.52</v>
      </c>
      <c r="D50" s="3">
        <f t="shared" si="0"/>
        <v>1.4500000000000002</v>
      </c>
      <c r="E50" s="3">
        <f t="shared" si="1"/>
        <v>11.993103448275861</v>
      </c>
      <c r="F50" s="6">
        <v>57594</v>
      </c>
      <c r="G50" s="5">
        <v>25241</v>
      </c>
    </row>
    <row r="51" spans="1:7" x14ac:dyDescent="0.2">
      <c r="A51" s="1">
        <v>41547</v>
      </c>
      <c r="B51" s="3">
        <v>14.69</v>
      </c>
      <c r="C51" s="3">
        <v>0.3</v>
      </c>
      <c r="D51" s="3">
        <f t="shared" si="0"/>
        <v>1.42</v>
      </c>
      <c r="E51" s="3">
        <f t="shared" si="1"/>
        <v>10.345070422535212</v>
      </c>
      <c r="F51" s="6">
        <v>37472</v>
      </c>
      <c r="G51" s="5">
        <v>26087</v>
      </c>
    </row>
    <row r="52" spans="1:7" x14ac:dyDescent="0.2">
      <c r="A52" s="1">
        <v>41455</v>
      </c>
      <c r="B52" s="3">
        <v>12.14</v>
      </c>
      <c r="C52" s="3">
        <v>0.27</v>
      </c>
      <c r="D52" s="3">
        <f t="shared" si="0"/>
        <v>1.4300000000000002</v>
      </c>
      <c r="E52" s="3">
        <f t="shared" si="1"/>
        <v>8.4895104895104883</v>
      </c>
      <c r="F52" s="6">
        <v>35323</v>
      </c>
      <c r="G52" s="5">
        <v>25879</v>
      </c>
    </row>
    <row r="53" spans="1:7" x14ac:dyDescent="0.2">
      <c r="A53" s="1">
        <v>41364</v>
      </c>
      <c r="B53" s="3">
        <v>13.46</v>
      </c>
      <c r="C53" s="3">
        <v>0.36</v>
      </c>
      <c r="D53" s="3">
        <f t="shared" si="0"/>
        <v>1.49</v>
      </c>
      <c r="E53" s="3">
        <f t="shared" si="1"/>
        <v>9.0335570469798672</v>
      </c>
      <c r="F53" s="6">
        <v>43603</v>
      </c>
      <c r="G53" s="5">
        <v>26489</v>
      </c>
    </row>
    <row r="54" spans="1:7" x14ac:dyDescent="0.2">
      <c r="A54" s="1">
        <v>41274</v>
      </c>
      <c r="B54" s="3">
        <v>16.09</v>
      </c>
      <c r="C54" s="3">
        <v>0.49</v>
      </c>
      <c r="D54" s="3">
        <f t="shared" si="0"/>
        <v>1.57</v>
      </c>
      <c r="E54" s="3">
        <f t="shared" si="1"/>
        <v>10.248407643312101</v>
      </c>
      <c r="F54" s="6">
        <v>54512</v>
      </c>
      <c r="G54" s="5">
        <v>26522</v>
      </c>
    </row>
    <row r="55" spans="1:7" x14ac:dyDescent="0.2">
      <c r="A55" s="1">
        <v>41182</v>
      </c>
      <c r="B55" s="3">
        <v>20.07</v>
      </c>
      <c r="C55" s="3">
        <v>0.31</v>
      </c>
      <c r="D55" s="3">
        <f t="shared" si="0"/>
        <v>1.58</v>
      </c>
      <c r="E55" s="3">
        <f t="shared" si="1"/>
        <v>12.70253164556962</v>
      </c>
      <c r="F55" s="6">
        <v>35966</v>
      </c>
      <c r="G55" s="5">
        <v>26470</v>
      </c>
    </row>
    <row r="56" spans="1:7" x14ac:dyDescent="0.2">
      <c r="A56" s="1">
        <v>41090</v>
      </c>
      <c r="B56" s="3">
        <v>17.5</v>
      </c>
      <c r="C56" s="3">
        <v>0.33</v>
      </c>
      <c r="D56" s="3">
        <f t="shared" si="0"/>
        <v>1.52</v>
      </c>
      <c r="E56" s="3">
        <f t="shared" si="1"/>
        <v>11.513157894736842</v>
      </c>
      <c r="F56" s="6">
        <v>35023</v>
      </c>
      <c r="G56" s="5">
        <v>26518</v>
      </c>
    </row>
    <row r="57" spans="1:7" x14ac:dyDescent="0.2">
      <c r="A57" s="1">
        <v>40999</v>
      </c>
      <c r="B57" s="3">
        <v>17.96</v>
      </c>
      <c r="C57" s="3">
        <v>0.44</v>
      </c>
      <c r="D57" s="3">
        <f t="shared" si="0"/>
        <v>1.47</v>
      </c>
      <c r="E57" s="3">
        <f t="shared" si="1"/>
        <v>12.217687074829932</v>
      </c>
      <c r="F57" s="6">
        <v>39186</v>
      </c>
      <c r="G57" s="5">
        <v>26457</v>
      </c>
    </row>
    <row r="58" spans="1:7" x14ac:dyDescent="0.2">
      <c r="A58" s="1">
        <v>40908</v>
      </c>
      <c r="B58" s="3">
        <v>12.14</v>
      </c>
      <c r="C58" s="3">
        <v>0.5</v>
      </c>
      <c r="D58" s="3">
        <f t="shared" si="0"/>
        <v>1.26</v>
      </c>
      <c r="E58" s="3">
        <f t="shared" si="1"/>
        <v>9.6349206349206344</v>
      </c>
      <c r="F58" s="6">
        <v>46333</v>
      </c>
      <c r="G58" s="5">
        <v>26364</v>
      </c>
    </row>
    <row r="59" spans="1:7" x14ac:dyDescent="0.2">
      <c r="A59" s="1">
        <v>40816</v>
      </c>
      <c r="B59" s="3">
        <v>11.43</v>
      </c>
      <c r="C59" s="3">
        <v>0.25</v>
      </c>
      <c r="D59" s="3"/>
      <c r="E59" s="3"/>
      <c r="F59" s="6">
        <v>28270</v>
      </c>
      <c r="G59" s="5">
        <v>26226</v>
      </c>
    </row>
    <row r="60" spans="1:7" x14ac:dyDescent="0.2">
      <c r="A60" s="1">
        <v>40724</v>
      </c>
      <c r="B60" s="3">
        <v>10.06</v>
      </c>
      <c r="C60" s="3">
        <v>0.28000000000000003</v>
      </c>
      <c r="D60" s="3"/>
      <c r="E60" s="3"/>
      <c r="F60" s="6">
        <v>28571</v>
      </c>
      <c r="G60" s="5">
        <v>26259</v>
      </c>
    </row>
    <row r="61" spans="1:7" x14ac:dyDescent="0.2">
      <c r="A61" s="1">
        <v>40633</v>
      </c>
      <c r="B61" s="3">
        <v>10.44</v>
      </c>
      <c r="C61" s="3">
        <v>0.23</v>
      </c>
      <c r="D61" s="3"/>
      <c r="E61" s="3"/>
      <c r="F61" s="6">
        <v>24667</v>
      </c>
      <c r="G61" s="5">
        <v>26206</v>
      </c>
    </row>
    <row r="62" spans="1:7" x14ac:dyDescent="0.2">
      <c r="A62" s="1"/>
      <c r="C62" s="2"/>
      <c r="D62" s="2"/>
    </row>
    <row r="63" spans="1:7" x14ac:dyDescent="0.2">
      <c r="A63" s="1"/>
      <c r="C63" s="2"/>
      <c r="D63" s="2"/>
    </row>
    <row r="64" spans="1:7" x14ac:dyDescent="0.2">
      <c r="A64" s="1"/>
      <c r="C64" s="2"/>
      <c r="D64" s="2"/>
    </row>
    <row r="65" spans="1:4" x14ac:dyDescent="0.2">
      <c r="A65" s="1"/>
      <c r="C65" s="2"/>
      <c r="D65" s="2"/>
    </row>
    <row r="66" spans="1:4" x14ac:dyDescent="0.2">
      <c r="A66" s="1"/>
      <c r="C66" s="2"/>
      <c r="D66" s="2"/>
    </row>
    <row r="67" spans="1:4" x14ac:dyDescent="0.2">
      <c r="A67" s="1"/>
      <c r="C67" s="2"/>
      <c r="D67" s="2"/>
    </row>
    <row r="68" spans="1:4" x14ac:dyDescent="0.2">
      <c r="A68" s="1"/>
      <c r="C68" s="2"/>
      <c r="D68" s="2"/>
    </row>
    <row r="69" spans="1:4" x14ac:dyDescent="0.2">
      <c r="A69" s="1"/>
      <c r="C69" s="2"/>
      <c r="D69" s="2"/>
    </row>
    <row r="70" spans="1:4" x14ac:dyDescent="0.2">
      <c r="A70" s="1"/>
      <c r="C70" s="2"/>
      <c r="D70" s="2"/>
    </row>
    <row r="71" spans="1:4" x14ac:dyDescent="0.2">
      <c r="A71" s="1"/>
      <c r="C71" s="2"/>
      <c r="D71" s="2"/>
    </row>
    <row r="72" spans="1:4" x14ac:dyDescent="0.2">
      <c r="A72" s="1"/>
      <c r="C72" s="2"/>
      <c r="D72" s="2"/>
    </row>
    <row r="73" spans="1:4" x14ac:dyDescent="0.2">
      <c r="A73" s="1"/>
      <c r="C73" s="2"/>
      <c r="D73" s="2"/>
    </row>
    <row r="74" spans="1:4" x14ac:dyDescent="0.2">
      <c r="A74" s="1"/>
      <c r="C74" s="2"/>
      <c r="D74" s="2"/>
    </row>
    <row r="75" spans="1:4" x14ac:dyDescent="0.2">
      <c r="A75" s="1"/>
      <c r="C75" s="2"/>
      <c r="D75" s="2"/>
    </row>
    <row r="76" spans="1:4" x14ac:dyDescent="0.2">
      <c r="A76" s="1"/>
      <c r="C76" s="2"/>
      <c r="D76" s="2"/>
    </row>
    <row r="77" spans="1:4" x14ac:dyDescent="0.2">
      <c r="A77" s="1"/>
      <c r="C77" s="2"/>
      <c r="D77" s="2"/>
    </row>
    <row r="78" spans="1:4" x14ac:dyDescent="0.2">
      <c r="A78" s="1"/>
      <c r="C78" s="2"/>
      <c r="D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00AE-D9FB-F04A-BDBE-5CC40BEC9075}">
  <dimension ref="A1:G78"/>
  <sheetViews>
    <sheetView showGridLines="0" workbookViewId="0">
      <pane ySplit="1" topLeftCell="A26" activePane="bottomLeft" state="frozen"/>
      <selection pane="bottomLeft" sqref="A1:G61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10</v>
      </c>
      <c r="G1" s="7" t="s">
        <v>15</v>
      </c>
    </row>
    <row r="2" spans="1:7" x14ac:dyDescent="0.2">
      <c r="A2" s="1">
        <v>46022</v>
      </c>
      <c r="B2">
        <v>483.62</v>
      </c>
      <c r="C2" s="3">
        <v>5.16</v>
      </c>
      <c r="D2" s="3">
        <f>SUM(C2:C5)</f>
        <v>15.990000000000002</v>
      </c>
      <c r="E2" s="3">
        <f>IFERROR(B2/D2,"")</f>
        <v>30.245153220762973</v>
      </c>
      <c r="F2" s="6">
        <v>81273</v>
      </c>
      <c r="G2" s="5">
        <v>7460</v>
      </c>
    </row>
    <row r="3" spans="1:7" x14ac:dyDescent="0.2">
      <c r="A3" s="1">
        <v>45930</v>
      </c>
      <c r="B3">
        <v>516.98</v>
      </c>
      <c r="C3" s="3">
        <v>3.72</v>
      </c>
      <c r="D3" s="3">
        <f t="shared" ref="D3:D58" si="0">SUM(C3:C6)</f>
        <v>14.06</v>
      </c>
      <c r="E3" s="3">
        <f t="shared" ref="E3:E58" si="1">IFERROR(B3/D3,"")</f>
        <v>36.769559032716927</v>
      </c>
      <c r="F3" s="6">
        <v>77673</v>
      </c>
      <c r="G3" s="5">
        <v>7466</v>
      </c>
    </row>
    <row r="4" spans="1:7" x14ac:dyDescent="0.2">
      <c r="A4" s="1">
        <v>45838</v>
      </c>
      <c r="B4">
        <v>495.67</v>
      </c>
      <c r="C4" s="3">
        <v>3.65</v>
      </c>
      <c r="D4" s="3">
        <f t="shared" si="0"/>
        <v>13.64</v>
      </c>
      <c r="E4" s="3">
        <f t="shared" si="1"/>
        <v>36.339442815249264</v>
      </c>
      <c r="F4" s="6">
        <v>76441</v>
      </c>
      <c r="G4" s="5">
        <v>7465</v>
      </c>
    </row>
    <row r="5" spans="1:7" x14ac:dyDescent="0.2">
      <c r="A5" s="1">
        <v>45747</v>
      </c>
      <c r="B5">
        <v>373.39</v>
      </c>
      <c r="C5" s="3">
        <v>3.46</v>
      </c>
      <c r="D5" s="3">
        <f t="shared" si="0"/>
        <v>12.929999999999998</v>
      </c>
      <c r="E5" s="3">
        <f t="shared" si="1"/>
        <v>28.877803557617945</v>
      </c>
      <c r="F5" s="6">
        <v>70066</v>
      </c>
      <c r="G5" s="5">
        <v>7461</v>
      </c>
    </row>
    <row r="6" spans="1:7" x14ac:dyDescent="0.2">
      <c r="A6" s="1">
        <v>45657</v>
      </c>
      <c r="B6">
        <v>418.41</v>
      </c>
      <c r="C6" s="3">
        <v>3.23</v>
      </c>
      <c r="D6" s="3">
        <f t="shared" si="0"/>
        <v>12.409999999999998</v>
      </c>
      <c r="E6" s="3">
        <f t="shared" si="1"/>
        <v>33.71555197421435</v>
      </c>
      <c r="F6" s="6">
        <v>69632</v>
      </c>
      <c r="G6" s="5">
        <v>7468</v>
      </c>
    </row>
    <row r="7" spans="1:7" x14ac:dyDescent="0.2">
      <c r="A7" s="1">
        <v>45565</v>
      </c>
      <c r="B7">
        <v>426.3</v>
      </c>
      <c r="C7" s="3">
        <v>3.3</v>
      </c>
      <c r="D7" s="3">
        <f t="shared" si="0"/>
        <v>12.11</v>
      </c>
      <c r="E7" s="3">
        <f t="shared" si="1"/>
        <v>35.202312138728324</v>
      </c>
      <c r="F7" s="6">
        <v>65585</v>
      </c>
      <c r="G7" s="5">
        <v>7470</v>
      </c>
    </row>
    <row r="8" spans="1:7" x14ac:dyDescent="0.2">
      <c r="A8" s="1">
        <v>45473</v>
      </c>
      <c r="B8">
        <v>441.99</v>
      </c>
      <c r="C8" s="3">
        <v>2.94</v>
      </c>
      <c r="D8" s="3">
        <f t="shared" si="0"/>
        <v>11.8</v>
      </c>
      <c r="E8" s="3">
        <f t="shared" si="1"/>
        <v>37.456779661016945</v>
      </c>
      <c r="F8" s="6">
        <v>64727</v>
      </c>
      <c r="G8" s="5">
        <v>7469</v>
      </c>
    </row>
    <row r="9" spans="1:7" x14ac:dyDescent="0.2">
      <c r="A9" s="1">
        <v>45382</v>
      </c>
      <c r="B9">
        <v>415.31</v>
      </c>
      <c r="C9" s="3">
        <v>2.94</v>
      </c>
      <c r="D9" s="3">
        <f t="shared" si="0"/>
        <v>11.54</v>
      </c>
      <c r="E9" s="3">
        <f t="shared" si="1"/>
        <v>35.988734835355288</v>
      </c>
      <c r="F9" s="6">
        <v>61858</v>
      </c>
      <c r="G9" s="5">
        <v>7472</v>
      </c>
    </row>
    <row r="10" spans="1:7" x14ac:dyDescent="0.2">
      <c r="A10" s="1">
        <v>45291</v>
      </c>
      <c r="B10">
        <v>370.52</v>
      </c>
      <c r="C10" s="3">
        <v>2.93</v>
      </c>
      <c r="D10" s="3">
        <f t="shared" si="0"/>
        <v>11.05</v>
      </c>
      <c r="E10" s="3">
        <f t="shared" si="1"/>
        <v>33.531221719457008</v>
      </c>
      <c r="F10" s="6">
        <v>62020</v>
      </c>
      <c r="G10" s="5">
        <v>7468</v>
      </c>
    </row>
    <row r="11" spans="1:7" x14ac:dyDescent="0.2">
      <c r="A11" s="1">
        <v>45199</v>
      </c>
      <c r="B11">
        <v>310.48</v>
      </c>
      <c r="C11" s="3">
        <v>2.99</v>
      </c>
      <c r="D11" s="3">
        <f t="shared" si="0"/>
        <v>10.32</v>
      </c>
      <c r="E11" s="3">
        <f t="shared" si="1"/>
        <v>30.085271317829459</v>
      </c>
      <c r="F11" s="6">
        <v>56517</v>
      </c>
      <c r="G11" s="5">
        <v>7462</v>
      </c>
    </row>
    <row r="12" spans="1:7" x14ac:dyDescent="0.2">
      <c r="A12" s="1">
        <v>45107</v>
      </c>
      <c r="B12">
        <v>334.15</v>
      </c>
      <c r="C12" s="3">
        <v>2.68</v>
      </c>
      <c r="D12" s="3">
        <f t="shared" si="0"/>
        <v>9.6800000000000015</v>
      </c>
      <c r="E12" s="3">
        <f t="shared" si="1"/>
        <v>34.519628099173545</v>
      </c>
      <c r="F12" s="6">
        <v>56189</v>
      </c>
      <c r="G12" s="5">
        <v>7472</v>
      </c>
    </row>
    <row r="13" spans="1:7" x14ac:dyDescent="0.2">
      <c r="A13" s="1">
        <v>45016</v>
      </c>
      <c r="B13">
        <v>282.27</v>
      </c>
      <c r="C13" s="3">
        <v>2.4500000000000002</v>
      </c>
      <c r="D13" s="3">
        <f t="shared" si="0"/>
        <v>9.24</v>
      </c>
      <c r="E13" s="3">
        <f t="shared" si="1"/>
        <v>30.548701298701296</v>
      </c>
      <c r="F13" s="6">
        <v>52857</v>
      </c>
      <c r="G13" s="5">
        <v>7464</v>
      </c>
    </row>
    <row r="14" spans="1:7" x14ac:dyDescent="0.2">
      <c r="A14" s="1">
        <v>44926</v>
      </c>
      <c r="B14">
        <v>234.22</v>
      </c>
      <c r="C14" s="3">
        <v>2.2000000000000002</v>
      </c>
      <c r="D14" s="3">
        <f t="shared" si="0"/>
        <v>9.0100000000000016</v>
      </c>
      <c r="E14" s="3">
        <f t="shared" si="1"/>
        <v>25.995560488346278</v>
      </c>
      <c r="F14" s="6">
        <v>52747</v>
      </c>
      <c r="G14" s="5">
        <v>7473</v>
      </c>
    </row>
    <row r="15" spans="1:7" x14ac:dyDescent="0.2">
      <c r="A15" s="1">
        <v>44834</v>
      </c>
      <c r="B15">
        <v>226.82</v>
      </c>
      <c r="C15" s="3">
        <v>2.35</v>
      </c>
      <c r="D15" s="3">
        <f t="shared" si="0"/>
        <v>9.2900000000000009</v>
      </c>
      <c r="E15" s="3">
        <f t="shared" si="1"/>
        <v>24.415500538213131</v>
      </c>
      <c r="F15" s="6">
        <v>50122</v>
      </c>
      <c r="G15" s="5">
        <v>7485</v>
      </c>
    </row>
    <row r="16" spans="1:7" x14ac:dyDescent="0.2">
      <c r="A16" s="1">
        <v>44742</v>
      </c>
      <c r="B16">
        <v>249.6</v>
      </c>
      <c r="C16" s="3">
        <v>2.2400000000000002</v>
      </c>
      <c r="D16" s="3">
        <f t="shared" si="0"/>
        <v>9.6500000000000021</v>
      </c>
      <c r="E16" s="3">
        <f t="shared" si="1"/>
        <v>25.865284974093257</v>
      </c>
      <c r="F16" s="6">
        <v>51865</v>
      </c>
      <c r="G16" s="5">
        <v>7540</v>
      </c>
    </row>
    <row r="17" spans="1:7" x14ac:dyDescent="0.2">
      <c r="A17" s="1">
        <v>44651</v>
      </c>
      <c r="B17">
        <v>298.93</v>
      </c>
      <c r="C17" s="3">
        <v>2.2200000000000002</v>
      </c>
      <c r="D17" s="3">
        <f t="shared" si="0"/>
        <v>9.58</v>
      </c>
      <c r="E17" s="3">
        <f t="shared" si="1"/>
        <v>31.203549060542798</v>
      </c>
      <c r="F17" s="6">
        <v>49360</v>
      </c>
      <c r="G17" s="5">
        <v>7534</v>
      </c>
    </row>
    <row r="18" spans="1:7" x14ac:dyDescent="0.2">
      <c r="A18" s="1">
        <v>44561</v>
      </c>
      <c r="B18">
        <v>325.42</v>
      </c>
      <c r="C18" s="3">
        <v>2.48</v>
      </c>
      <c r="D18" s="3">
        <f t="shared" si="0"/>
        <v>9.3899999999999988</v>
      </c>
      <c r="E18" s="3">
        <f t="shared" si="1"/>
        <v>34.656017039403629</v>
      </c>
      <c r="F18" s="6">
        <v>51728</v>
      </c>
      <c r="G18" s="5">
        <v>7555</v>
      </c>
    </row>
    <row r="19" spans="1:7" x14ac:dyDescent="0.2">
      <c r="A19" s="1">
        <v>44469</v>
      </c>
      <c r="B19">
        <v>272.27999999999997</v>
      </c>
      <c r="C19" s="3">
        <v>2.71</v>
      </c>
      <c r="D19" s="3">
        <f t="shared" si="0"/>
        <v>8.94</v>
      </c>
      <c r="E19" s="3">
        <f t="shared" si="1"/>
        <v>30.456375838926174</v>
      </c>
      <c r="F19" s="6">
        <v>45317</v>
      </c>
      <c r="G19" s="5">
        <v>7567</v>
      </c>
    </row>
    <row r="20" spans="1:7" x14ac:dyDescent="0.2">
      <c r="A20" s="1">
        <v>44377</v>
      </c>
      <c r="B20">
        <v>261.14</v>
      </c>
      <c r="C20" s="3">
        <v>2.17</v>
      </c>
      <c r="D20" s="3">
        <f t="shared" si="0"/>
        <v>8.0499999999999989</v>
      </c>
      <c r="E20" s="3">
        <f t="shared" si="1"/>
        <v>32.43975155279503</v>
      </c>
      <c r="F20" s="6">
        <v>46152</v>
      </c>
      <c r="G20" s="5">
        <v>7608</v>
      </c>
    </row>
    <row r="21" spans="1:7" x14ac:dyDescent="0.2">
      <c r="A21" s="1">
        <v>44286</v>
      </c>
      <c r="B21">
        <v>226.75</v>
      </c>
      <c r="C21" s="3">
        <v>2.0299999999999998</v>
      </c>
      <c r="D21" s="3">
        <f t="shared" si="0"/>
        <v>7.35</v>
      </c>
      <c r="E21" s="3">
        <f t="shared" si="1"/>
        <v>30.850340136054424</v>
      </c>
      <c r="F21" s="6">
        <v>41706</v>
      </c>
      <c r="G21" s="5">
        <v>7597</v>
      </c>
    </row>
    <row r="22" spans="1:7" x14ac:dyDescent="0.2">
      <c r="A22" s="1">
        <v>44196</v>
      </c>
      <c r="B22">
        <v>213.42</v>
      </c>
      <c r="C22" s="3">
        <v>2.0299999999999998</v>
      </c>
      <c r="D22" s="3">
        <f t="shared" si="0"/>
        <v>6.7199999999999989</v>
      </c>
      <c r="E22" s="3">
        <f t="shared" si="1"/>
        <v>31.758928571428577</v>
      </c>
      <c r="F22" s="6">
        <v>43076</v>
      </c>
      <c r="G22" s="5">
        <v>7616</v>
      </c>
    </row>
    <row r="23" spans="1:7" x14ac:dyDescent="0.2">
      <c r="A23" s="1">
        <v>44104</v>
      </c>
      <c r="B23">
        <v>201.29</v>
      </c>
      <c r="C23" s="3">
        <v>1.82</v>
      </c>
      <c r="D23" s="3">
        <f t="shared" si="0"/>
        <v>6.1999999999999993</v>
      </c>
      <c r="E23" s="3">
        <f t="shared" si="1"/>
        <v>32.466129032258067</v>
      </c>
      <c r="F23" s="6">
        <v>37154</v>
      </c>
      <c r="G23" s="5">
        <v>7637</v>
      </c>
    </row>
    <row r="24" spans="1:7" x14ac:dyDescent="0.2">
      <c r="A24" s="1">
        <v>44012</v>
      </c>
      <c r="B24">
        <v>194.3</v>
      </c>
      <c r="C24" s="3">
        <v>1.47</v>
      </c>
      <c r="D24" s="3">
        <f t="shared" si="0"/>
        <v>5.76</v>
      </c>
      <c r="E24" s="3">
        <f t="shared" si="1"/>
        <v>33.732638888888893</v>
      </c>
      <c r="F24" s="6">
        <v>38033</v>
      </c>
      <c r="G24" s="5">
        <v>7683</v>
      </c>
    </row>
    <row r="25" spans="1:7" x14ac:dyDescent="0.2">
      <c r="A25" s="1">
        <v>43921</v>
      </c>
      <c r="B25">
        <v>150.15</v>
      </c>
      <c r="C25" s="3">
        <v>1.4</v>
      </c>
      <c r="D25" s="3">
        <f t="shared" si="0"/>
        <v>5.99</v>
      </c>
      <c r="E25" s="3">
        <f t="shared" si="1"/>
        <v>25.06677796327212</v>
      </c>
      <c r="F25" s="6">
        <v>35021</v>
      </c>
      <c r="G25" s="5">
        <v>7675</v>
      </c>
    </row>
    <row r="26" spans="1:7" x14ac:dyDescent="0.2">
      <c r="A26" s="1">
        <v>43830</v>
      </c>
      <c r="B26">
        <v>149.72999999999999</v>
      </c>
      <c r="C26" s="3">
        <v>1.51</v>
      </c>
      <c r="D26" s="3">
        <f t="shared" si="0"/>
        <v>5.7299999999999995</v>
      </c>
      <c r="E26" s="3">
        <f t="shared" si="1"/>
        <v>26.130890052356023</v>
      </c>
      <c r="F26" s="6">
        <v>36906</v>
      </c>
      <c r="G26" s="5">
        <v>7691</v>
      </c>
    </row>
    <row r="27" spans="1:7" x14ac:dyDescent="0.2">
      <c r="A27" s="1">
        <v>43738</v>
      </c>
      <c r="B27">
        <v>131.56</v>
      </c>
      <c r="C27" s="3">
        <v>1.38</v>
      </c>
      <c r="D27" s="3">
        <f t="shared" si="0"/>
        <v>5.3</v>
      </c>
      <c r="E27" s="3">
        <f t="shared" si="1"/>
        <v>24.822641509433964</v>
      </c>
      <c r="F27" s="6">
        <v>33055</v>
      </c>
      <c r="G27" s="5">
        <v>7710</v>
      </c>
    </row>
    <row r="28" spans="1:7" x14ac:dyDescent="0.2">
      <c r="A28" s="1">
        <v>43646</v>
      </c>
      <c r="B28">
        <v>126.34</v>
      </c>
      <c r="C28" s="3">
        <v>1.7</v>
      </c>
      <c r="D28" s="3">
        <f t="shared" si="0"/>
        <v>5.0599999999999996</v>
      </c>
      <c r="E28" s="3">
        <f t="shared" si="1"/>
        <v>24.96837944664032</v>
      </c>
      <c r="F28" s="6">
        <v>33717</v>
      </c>
      <c r="G28" s="5">
        <v>7753</v>
      </c>
    </row>
    <row r="29" spans="1:7" x14ac:dyDescent="0.2">
      <c r="A29" s="1">
        <v>43555</v>
      </c>
      <c r="B29">
        <v>110.82</v>
      </c>
      <c r="C29" s="3">
        <v>1.1399999999999999</v>
      </c>
      <c r="D29" s="3">
        <f t="shared" si="0"/>
        <v>4.5199999999999996</v>
      </c>
      <c r="E29" s="3">
        <f t="shared" si="1"/>
        <v>24.517699115044248</v>
      </c>
      <c r="F29" s="6">
        <v>30571</v>
      </c>
      <c r="G29" s="5">
        <v>7744</v>
      </c>
    </row>
    <row r="30" spans="1:7" x14ac:dyDescent="0.2">
      <c r="A30" s="1">
        <v>43465</v>
      </c>
      <c r="B30">
        <v>94.92</v>
      </c>
      <c r="C30" s="3">
        <v>1.08</v>
      </c>
      <c r="D30" s="3">
        <f t="shared" si="0"/>
        <v>4.33</v>
      </c>
      <c r="E30" s="3">
        <f t="shared" si="1"/>
        <v>21.921478060046191</v>
      </c>
      <c r="F30" s="6">
        <v>32471</v>
      </c>
      <c r="G30" s="5">
        <v>7768</v>
      </c>
    </row>
    <row r="31" spans="1:7" x14ac:dyDescent="0.2">
      <c r="A31" s="1">
        <v>43373</v>
      </c>
      <c r="B31">
        <v>106.43</v>
      </c>
      <c r="C31" s="3">
        <v>1.1399999999999999</v>
      </c>
      <c r="D31" s="3">
        <f t="shared" si="0"/>
        <v>2.4300000000000002</v>
      </c>
      <c r="E31" s="3">
        <f t="shared" si="1"/>
        <v>43.798353909465021</v>
      </c>
      <c r="F31" s="6">
        <v>29084</v>
      </c>
      <c r="G31" s="5">
        <v>7766</v>
      </c>
    </row>
    <row r="32" spans="1:7" x14ac:dyDescent="0.2">
      <c r="A32" s="1">
        <v>43281</v>
      </c>
      <c r="B32">
        <v>91.41</v>
      </c>
      <c r="C32" s="3">
        <v>1.1599999999999999</v>
      </c>
      <c r="D32" s="3">
        <f t="shared" si="0"/>
        <v>2.13</v>
      </c>
      <c r="E32" s="3">
        <f t="shared" si="1"/>
        <v>42.91549295774648</v>
      </c>
      <c r="F32" s="6">
        <v>30085</v>
      </c>
      <c r="G32" s="5">
        <v>7794</v>
      </c>
    </row>
    <row r="33" spans="1:7" x14ac:dyDescent="0.2">
      <c r="A33" s="1">
        <v>43190</v>
      </c>
      <c r="B33">
        <v>84.24</v>
      </c>
      <c r="C33" s="3">
        <v>0.95</v>
      </c>
      <c r="D33" s="3">
        <f t="shared" si="0"/>
        <v>2</v>
      </c>
      <c r="E33" s="3">
        <f t="shared" si="1"/>
        <v>42.12</v>
      </c>
      <c r="F33" s="6">
        <v>26819</v>
      </c>
      <c r="G33" s="5">
        <v>7794</v>
      </c>
    </row>
    <row r="34" spans="1:7" x14ac:dyDescent="0.2">
      <c r="A34" s="1">
        <v>43100</v>
      </c>
      <c r="B34">
        <v>78.58</v>
      </c>
      <c r="C34" s="3">
        <v>-0.82</v>
      </c>
      <c r="D34" s="3">
        <f t="shared" si="0"/>
        <v>1.75</v>
      </c>
      <c r="E34" s="3">
        <f t="shared" si="1"/>
        <v>44.902857142857144</v>
      </c>
      <c r="F34" s="6">
        <v>28918</v>
      </c>
      <c r="G34" s="5">
        <v>7710</v>
      </c>
    </row>
    <row r="35" spans="1:7" x14ac:dyDescent="0.2">
      <c r="A35" s="1">
        <v>43008</v>
      </c>
      <c r="B35">
        <v>68.09</v>
      </c>
      <c r="C35" s="3">
        <v>0.84</v>
      </c>
      <c r="D35" s="3">
        <f t="shared" si="0"/>
        <v>3.37</v>
      </c>
      <c r="E35" s="3">
        <f t="shared" si="1"/>
        <v>20.204747774480712</v>
      </c>
      <c r="F35" s="6">
        <v>24538</v>
      </c>
      <c r="G35" s="5">
        <v>7799</v>
      </c>
    </row>
    <row r="36" spans="1:7" x14ac:dyDescent="0.2">
      <c r="A36" s="1">
        <v>42916</v>
      </c>
      <c r="B36">
        <v>62.67</v>
      </c>
      <c r="C36" s="3">
        <v>1.03</v>
      </c>
      <c r="D36" s="3">
        <f t="shared" si="0"/>
        <v>3.25</v>
      </c>
      <c r="E36" s="3">
        <f t="shared" si="1"/>
        <v>19.283076923076923</v>
      </c>
      <c r="F36" s="6">
        <v>25605</v>
      </c>
      <c r="G36" s="5">
        <v>7832</v>
      </c>
    </row>
    <row r="37" spans="1:7" x14ac:dyDescent="0.2">
      <c r="A37" s="1">
        <v>42825</v>
      </c>
      <c r="B37">
        <v>59.54</v>
      </c>
      <c r="C37" s="3">
        <v>0.7</v>
      </c>
      <c r="D37" s="3">
        <f t="shared" si="0"/>
        <v>3.0799999999999996</v>
      </c>
      <c r="E37" s="3">
        <f t="shared" si="1"/>
        <v>19.331168831168835</v>
      </c>
      <c r="F37" s="6">
        <v>23212</v>
      </c>
      <c r="G37" s="5">
        <v>7813</v>
      </c>
    </row>
    <row r="38" spans="1:7" x14ac:dyDescent="0.2">
      <c r="A38" s="1">
        <v>42735</v>
      </c>
      <c r="B38">
        <v>55.84</v>
      </c>
      <c r="C38" s="3">
        <v>0.8</v>
      </c>
      <c r="D38" s="3">
        <f t="shared" si="0"/>
        <v>2.8499999999999996</v>
      </c>
      <c r="E38" s="3">
        <f t="shared" si="1"/>
        <v>19.592982456140355</v>
      </c>
      <c r="F38" s="6">
        <v>25826</v>
      </c>
      <c r="G38" s="5">
        <v>7830</v>
      </c>
    </row>
    <row r="39" spans="1:7" x14ac:dyDescent="0.2">
      <c r="A39" s="1">
        <v>42643</v>
      </c>
      <c r="B39">
        <v>51.41</v>
      </c>
      <c r="C39" s="3">
        <v>0.72</v>
      </c>
      <c r="D39" s="3">
        <f t="shared" si="0"/>
        <v>2.67</v>
      </c>
      <c r="E39" s="3">
        <f t="shared" si="1"/>
        <v>19.254681647940075</v>
      </c>
      <c r="F39" s="6">
        <v>21928</v>
      </c>
      <c r="G39" s="5">
        <v>7876</v>
      </c>
    </row>
    <row r="40" spans="1:7" x14ac:dyDescent="0.2">
      <c r="A40" s="1">
        <v>42551</v>
      </c>
      <c r="B40">
        <v>45.39</v>
      </c>
      <c r="C40" s="3">
        <v>0.86</v>
      </c>
      <c r="D40" s="3">
        <f t="shared" si="0"/>
        <v>2.56</v>
      </c>
      <c r="E40" s="3">
        <f t="shared" si="1"/>
        <v>17.73046875</v>
      </c>
      <c r="F40" s="6">
        <v>26448</v>
      </c>
      <c r="G40" s="5">
        <v>8013</v>
      </c>
    </row>
    <row r="41" spans="1:7" x14ac:dyDescent="0.2">
      <c r="A41" s="1">
        <v>42460</v>
      </c>
      <c r="B41">
        <v>48.65</v>
      </c>
      <c r="C41" s="3">
        <v>0.47</v>
      </c>
      <c r="D41" s="3">
        <f t="shared" si="0"/>
        <v>1.3199999999999998</v>
      </c>
      <c r="E41" s="3">
        <f t="shared" si="1"/>
        <v>36.856060606060609</v>
      </c>
      <c r="F41" s="6">
        <v>20531</v>
      </c>
      <c r="G41" s="5">
        <v>7985</v>
      </c>
    </row>
    <row r="42" spans="1:7" x14ac:dyDescent="0.2">
      <c r="A42" s="1">
        <v>42369</v>
      </c>
      <c r="B42">
        <v>48.52</v>
      </c>
      <c r="C42" s="3">
        <v>0.62</v>
      </c>
      <c r="D42" s="3">
        <f t="shared" si="0"/>
        <v>1.46</v>
      </c>
      <c r="E42" s="3">
        <f t="shared" si="1"/>
        <v>33.232876712328768</v>
      </c>
      <c r="F42" s="6">
        <v>23796</v>
      </c>
      <c r="G42" s="5">
        <v>8051</v>
      </c>
    </row>
    <row r="43" spans="1:7" x14ac:dyDescent="0.2">
      <c r="A43" s="1">
        <v>42277</v>
      </c>
      <c r="B43">
        <v>38.450000000000003</v>
      </c>
      <c r="C43" s="3">
        <v>0.61</v>
      </c>
      <c r="D43" s="3">
        <f t="shared" si="0"/>
        <v>1.5499999999999998</v>
      </c>
      <c r="E43" s="3">
        <f t="shared" si="1"/>
        <v>24.806451612903231</v>
      </c>
      <c r="F43" s="6">
        <v>20379</v>
      </c>
      <c r="G43" s="5">
        <v>8084</v>
      </c>
    </row>
    <row r="44" spans="1:7" x14ac:dyDescent="0.2">
      <c r="A44" s="1">
        <v>42185</v>
      </c>
      <c r="B44">
        <v>38.1</v>
      </c>
      <c r="C44" s="3">
        <v>-0.38</v>
      </c>
      <c r="D44" s="3">
        <f t="shared" si="0"/>
        <v>1.48</v>
      </c>
      <c r="E44" s="3">
        <f t="shared" si="1"/>
        <v>25.743243243243246</v>
      </c>
      <c r="F44" s="6">
        <v>22180</v>
      </c>
      <c r="G44" s="5">
        <v>8254</v>
      </c>
    </row>
    <row r="45" spans="1:7" x14ac:dyDescent="0.2">
      <c r="A45" s="1">
        <v>42094</v>
      </c>
      <c r="B45">
        <v>34.86</v>
      </c>
      <c r="C45" s="3">
        <v>0.61</v>
      </c>
      <c r="D45" s="3">
        <f t="shared" si="0"/>
        <v>2.41</v>
      </c>
      <c r="E45" s="3">
        <f t="shared" si="1"/>
        <v>14.46473029045643</v>
      </c>
      <c r="F45" s="6">
        <v>21729</v>
      </c>
      <c r="G45" s="5">
        <v>8237</v>
      </c>
    </row>
    <row r="46" spans="1:7" x14ac:dyDescent="0.2">
      <c r="A46" s="1">
        <v>42004</v>
      </c>
      <c r="B46">
        <v>39.549999999999997</v>
      </c>
      <c r="C46" s="3">
        <v>0.71</v>
      </c>
      <c r="D46" s="3">
        <f t="shared" si="0"/>
        <v>2.48</v>
      </c>
      <c r="E46" s="3">
        <f t="shared" si="1"/>
        <v>15.94758064516129</v>
      </c>
      <c r="F46" s="6">
        <v>26470</v>
      </c>
      <c r="G46" s="5">
        <v>8297</v>
      </c>
    </row>
    <row r="47" spans="1:7" x14ac:dyDescent="0.2">
      <c r="A47" s="1">
        <v>41912</v>
      </c>
      <c r="B47">
        <v>39.22</v>
      </c>
      <c r="C47" s="3">
        <v>0.54</v>
      </c>
      <c r="D47" s="3">
        <f t="shared" si="0"/>
        <v>2.5499999999999998</v>
      </c>
      <c r="E47" s="3">
        <f t="shared" si="1"/>
        <v>15.380392156862746</v>
      </c>
      <c r="F47" s="6">
        <v>23201</v>
      </c>
      <c r="G47" s="5">
        <v>8351</v>
      </c>
    </row>
    <row r="48" spans="1:7" x14ac:dyDescent="0.2">
      <c r="A48" s="1">
        <v>41820</v>
      </c>
      <c r="B48">
        <v>35.06</v>
      </c>
      <c r="C48" s="3">
        <v>0.55000000000000004</v>
      </c>
      <c r="D48" s="3">
        <f t="shared" si="0"/>
        <v>2.63</v>
      </c>
      <c r="E48" s="3">
        <f t="shared" si="1"/>
        <v>13.330798479087454</v>
      </c>
      <c r="F48" s="6">
        <v>23382</v>
      </c>
      <c r="G48" s="5">
        <v>8399</v>
      </c>
    </row>
    <row r="49" spans="1:7" x14ac:dyDescent="0.2">
      <c r="A49" s="1">
        <v>41729</v>
      </c>
      <c r="B49">
        <v>34.22</v>
      </c>
      <c r="C49" s="3">
        <v>0.68</v>
      </c>
      <c r="D49" s="3">
        <f t="shared" si="0"/>
        <v>2.65</v>
      </c>
      <c r="E49" s="3">
        <f t="shared" si="1"/>
        <v>12.913207547169812</v>
      </c>
      <c r="F49" s="6">
        <v>20403</v>
      </c>
      <c r="G49" s="5">
        <v>8367</v>
      </c>
    </row>
    <row r="50" spans="1:7" x14ac:dyDescent="0.2">
      <c r="A50" s="1">
        <v>41639</v>
      </c>
      <c r="B50">
        <v>31</v>
      </c>
      <c r="C50" s="3">
        <v>0.78</v>
      </c>
      <c r="D50" s="3">
        <f t="shared" si="0"/>
        <v>2.6899999999999995</v>
      </c>
      <c r="E50" s="3">
        <f t="shared" si="1"/>
        <v>11.524163568773236</v>
      </c>
      <c r="F50" s="6">
        <v>24519</v>
      </c>
      <c r="G50" s="5">
        <v>8395</v>
      </c>
    </row>
    <row r="51" spans="1:7" x14ac:dyDescent="0.2">
      <c r="A51" s="1">
        <v>41547</v>
      </c>
      <c r="B51">
        <v>27.37</v>
      </c>
      <c r="C51" s="3">
        <v>0.62</v>
      </c>
      <c r="D51" s="3">
        <f t="shared" si="0"/>
        <v>2.67</v>
      </c>
      <c r="E51" s="3">
        <f t="shared" si="1"/>
        <v>10.250936329588015</v>
      </c>
      <c r="F51" s="6">
        <v>18529</v>
      </c>
      <c r="G51" s="5">
        <v>8434</v>
      </c>
    </row>
    <row r="52" spans="1:7" x14ac:dyDescent="0.2">
      <c r="A52" s="1">
        <v>41455</v>
      </c>
      <c r="B52">
        <v>28.21</v>
      </c>
      <c r="C52" s="3">
        <v>0.56999999999999995</v>
      </c>
      <c r="D52" s="3">
        <f t="shared" si="0"/>
        <v>2.58</v>
      </c>
      <c r="E52" s="3">
        <f t="shared" si="1"/>
        <v>10.934108527131784</v>
      </c>
      <c r="F52" s="6">
        <v>19896</v>
      </c>
      <c r="G52" s="5">
        <v>8470</v>
      </c>
    </row>
    <row r="53" spans="1:7" x14ac:dyDescent="0.2">
      <c r="A53" s="1">
        <v>41364</v>
      </c>
      <c r="B53">
        <v>23.2</v>
      </c>
      <c r="C53" s="3">
        <v>0.72</v>
      </c>
      <c r="D53" s="3">
        <f t="shared" si="0"/>
        <v>1.9499999999999997</v>
      </c>
      <c r="E53" s="3">
        <f t="shared" si="1"/>
        <v>11.8974358974359</v>
      </c>
      <c r="F53" s="6">
        <v>20489</v>
      </c>
      <c r="G53" s="5">
        <v>8429</v>
      </c>
    </row>
    <row r="54" spans="1:7" x14ac:dyDescent="0.2">
      <c r="A54" s="1">
        <v>41274</v>
      </c>
      <c r="B54">
        <v>21.49</v>
      </c>
      <c r="C54" s="3">
        <v>0.76</v>
      </c>
      <c r="D54" s="3">
        <f t="shared" si="0"/>
        <v>1.83</v>
      </c>
      <c r="E54" s="3">
        <f t="shared" si="1"/>
        <v>11.743169398907103</v>
      </c>
      <c r="F54" s="6">
        <v>21456</v>
      </c>
      <c r="G54" s="5">
        <v>8444</v>
      </c>
    </row>
    <row r="55" spans="1:7" x14ac:dyDescent="0.2">
      <c r="A55" s="1">
        <v>41182</v>
      </c>
      <c r="B55">
        <v>23.75</v>
      </c>
      <c r="C55" s="3">
        <v>0.53</v>
      </c>
      <c r="D55" s="3">
        <f t="shared" si="0"/>
        <v>1.85</v>
      </c>
      <c r="E55" s="3">
        <f t="shared" si="1"/>
        <v>12.837837837837837</v>
      </c>
      <c r="F55" s="6">
        <v>16008</v>
      </c>
      <c r="G55" s="5">
        <v>8494</v>
      </c>
    </row>
    <row r="56" spans="1:7" x14ac:dyDescent="0.2">
      <c r="A56" s="1">
        <v>41090</v>
      </c>
      <c r="B56">
        <v>24.25</v>
      </c>
      <c r="C56" s="3">
        <v>-0.06</v>
      </c>
      <c r="D56" s="3">
        <f t="shared" si="0"/>
        <v>2</v>
      </c>
      <c r="E56" s="3">
        <f t="shared" si="1"/>
        <v>12.125</v>
      </c>
      <c r="F56" s="6">
        <v>18059</v>
      </c>
      <c r="G56" s="5">
        <v>8506</v>
      </c>
    </row>
    <row r="57" spans="1:7" x14ac:dyDescent="0.2">
      <c r="A57" s="1">
        <v>40999</v>
      </c>
      <c r="B57">
        <v>25.4</v>
      </c>
      <c r="C57" s="3">
        <v>0.6</v>
      </c>
      <c r="D57" s="3">
        <f t="shared" si="0"/>
        <v>2.75</v>
      </c>
      <c r="E57" s="3">
        <f t="shared" si="1"/>
        <v>9.2363636363636363</v>
      </c>
      <c r="F57" s="6">
        <v>17407</v>
      </c>
      <c r="G57" s="5">
        <v>8498</v>
      </c>
    </row>
    <row r="58" spans="1:7" x14ac:dyDescent="0.2">
      <c r="A58" s="1">
        <v>40908</v>
      </c>
      <c r="B58">
        <v>20.309999999999999</v>
      </c>
      <c r="C58" s="3">
        <v>0.78</v>
      </c>
      <c r="D58" s="3">
        <f t="shared" si="0"/>
        <v>2.76</v>
      </c>
      <c r="E58" s="3">
        <f t="shared" si="1"/>
        <v>7.3586956521739131</v>
      </c>
      <c r="F58" s="6">
        <v>20885</v>
      </c>
      <c r="G58" s="5">
        <v>8465</v>
      </c>
    </row>
    <row r="59" spans="1:7" x14ac:dyDescent="0.2">
      <c r="A59" s="1">
        <v>40816</v>
      </c>
      <c r="B59">
        <v>19.329999999999998</v>
      </c>
      <c r="C59" s="3">
        <v>0.68</v>
      </c>
      <c r="D59" s="3"/>
      <c r="E59" s="3"/>
      <c r="F59" s="6">
        <v>17372</v>
      </c>
      <c r="G59" s="5">
        <v>8490</v>
      </c>
    </row>
    <row r="60" spans="1:7" x14ac:dyDescent="0.2">
      <c r="A60" s="1">
        <v>40724</v>
      </c>
      <c r="B60">
        <v>20.059999999999999</v>
      </c>
      <c r="C60" s="3">
        <v>0.69</v>
      </c>
      <c r="D60" s="3"/>
      <c r="E60" s="3"/>
      <c r="F60" s="6">
        <v>17367</v>
      </c>
      <c r="G60" s="5">
        <v>8593</v>
      </c>
    </row>
    <row r="61" spans="1:7" x14ac:dyDescent="0.2">
      <c r="A61" s="1">
        <v>40633</v>
      </c>
      <c r="B61">
        <v>19.47</v>
      </c>
      <c r="C61" s="3">
        <v>0.61</v>
      </c>
      <c r="D61" s="3"/>
      <c r="E61" s="3"/>
      <c r="F61" s="6">
        <v>16428</v>
      </c>
      <c r="G61" s="5">
        <v>8510</v>
      </c>
    </row>
    <row r="62" spans="1:7" x14ac:dyDescent="0.2">
      <c r="A62" s="1"/>
      <c r="C62" s="2"/>
    </row>
    <row r="63" spans="1:7" x14ac:dyDescent="0.2">
      <c r="A63" s="1"/>
      <c r="C63" s="2"/>
    </row>
    <row r="64" spans="1:7" x14ac:dyDescent="0.2">
      <c r="A64" s="1"/>
      <c r="C64" s="2"/>
    </row>
    <row r="65" spans="1:3" x14ac:dyDescent="0.2">
      <c r="A65" s="1"/>
      <c r="C65" s="2"/>
    </row>
    <row r="66" spans="1:3" x14ac:dyDescent="0.2">
      <c r="A66" s="1"/>
      <c r="C66" s="2"/>
    </row>
    <row r="67" spans="1:3" x14ac:dyDescent="0.2">
      <c r="A67" s="1"/>
      <c r="C67" s="2"/>
    </row>
    <row r="68" spans="1:3" x14ac:dyDescent="0.2">
      <c r="A68" s="1"/>
      <c r="C68" s="2"/>
    </row>
    <row r="69" spans="1:3" x14ac:dyDescent="0.2">
      <c r="A69" s="1"/>
      <c r="C69" s="2"/>
    </row>
    <row r="70" spans="1:3" x14ac:dyDescent="0.2">
      <c r="A70" s="1"/>
      <c r="C70" s="2"/>
    </row>
    <row r="71" spans="1:3" x14ac:dyDescent="0.2">
      <c r="A71" s="1"/>
      <c r="C71" s="2"/>
    </row>
    <row r="72" spans="1:3" x14ac:dyDescent="0.2">
      <c r="A72" s="1"/>
      <c r="C72" s="2"/>
    </row>
    <row r="73" spans="1:3" x14ac:dyDescent="0.2">
      <c r="A73" s="1"/>
      <c r="C73" s="2"/>
    </row>
    <row r="74" spans="1:3" x14ac:dyDescent="0.2">
      <c r="A74" s="1"/>
      <c r="C74" s="2"/>
    </row>
    <row r="75" spans="1:3" x14ac:dyDescent="0.2">
      <c r="A75" s="1"/>
      <c r="C75" s="2"/>
    </row>
    <row r="76" spans="1:3" x14ac:dyDescent="0.2">
      <c r="A76" s="1"/>
      <c r="C76" s="2"/>
    </row>
    <row r="77" spans="1:3" x14ac:dyDescent="0.2">
      <c r="A77" s="1"/>
      <c r="C77" s="2"/>
    </row>
    <row r="78" spans="1:3" x14ac:dyDescent="0.2">
      <c r="A78" s="1"/>
      <c r="C7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F6A2-5C6A-3748-BEB6-66B7EEEA72CF}">
  <dimension ref="A1:G78"/>
  <sheetViews>
    <sheetView showGridLines="0" workbookViewId="0">
      <selection sqref="A1:G60"/>
    </sheetView>
  </sheetViews>
  <sheetFormatPr baseColWidth="10" defaultRowHeight="16" x14ac:dyDescent="0.2"/>
  <sheetData>
    <row r="1" spans="1:7" x14ac:dyDescent="0.2">
      <c r="A1" t="s">
        <v>0</v>
      </c>
      <c r="B1" t="s">
        <v>7</v>
      </c>
      <c r="C1" t="s">
        <v>1</v>
      </c>
      <c r="D1" t="s">
        <v>2</v>
      </c>
      <c r="E1" t="s">
        <v>5</v>
      </c>
      <c r="F1" t="s">
        <v>10</v>
      </c>
      <c r="G1" s="7" t="s">
        <v>15</v>
      </c>
    </row>
    <row r="2" spans="1:7" x14ac:dyDescent="0.2">
      <c r="A2" s="1">
        <v>45961</v>
      </c>
      <c r="B2">
        <v>202.48</v>
      </c>
      <c r="C2" s="3">
        <v>1.3</v>
      </c>
      <c r="D2" s="3">
        <f>SUM(C2:C5)</f>
        <v>4.0299999999999994</v>
      </c>
      <c r="E2" s="3">
        <f t="shared" ref="E2:E57" si="0">IFERROR(B2/D2,"")</f>
        <v>50.243176178660057</v>
      </c>
      <c r="F2" s="6">
        <v>57006</v>
      </c>
      <c r="G2" s="5">
        <v>24483</v>
      </c>
    </row>
    <row r="3" spans="1:7" x14ac:dyDescent="0.2">
      <c r="A3" s="1">
        <v>45869</v>
      </c>
      <c r="B3">
        <v>177.85</v>
      </c>
      <c r="C3" s="3">
        <v>1.08</v>
      </c>
      <c r="D3" s="3">
        <f>SUM(C3:C6)</f>
        <v>3.51</v>
      </c>
      <c r="E3" s="3">
        <f t="shared" si="0"/>
        <v>50.669515669515668</v>
      </c>
      <c r="F3" s="6">
        <v>46743</v>
      </c>
      <c r="G3" s="5">
        <v>24532</v>
      </c>
    </row>
    <row r="4" spans="1:7" x14ac:dyDescent="0.2">
      <c r="A4" s="1">
        <v>45777</v>
      </c>
      <c r="B4">
        <v>108.9</v>
      </c>
      <c r="C4" s="3">
        <v>0.76</v>
      </c>
      <c r="D4" s="3">
        <f>SUM(C4:C7)</f>
        <v>3.0999999999999996</v>
      </c>
      <c r="E4" s="3">
        <f t="shared" si="0"/>
        <v>35.12903225806452</v>
      </c>
      <c r="F4" s="6">
        <v>44062</v>
      </c>
      <c r="G4" s="5">
        <v>24611</v>
      </c>
    </row>
    <row r="5" spans="1:7" x14ac:dyDescent="0.2">
      <c r="A5" s="1">
        <v>45688</v>
      </c>
      <c r="B5">
        <v>120.04</v>
      </c>
      <c r="C5" s="3">
        <v>0.89</v>
      </c>
      <c r="D5" s="3">
        <f>SUM(C5:C8)</f>
        <v>2.94</v>
      </c>
      <c r="E5" s="3">
        <f t="shared" si="0"/>
        <v>40.829931972789119</v>
      </c>
      <c r="F5" s="6">
        <v>39331</v>
      </c>
      <c r="G5" s="5">
        <v>24804</v>
      </c>
    </row>
    <row r="6" spans="1:7" x14ac:dyDescent="0.2">
      <c r="A6" s="1">
        <v>45596</v>
      </c>
      <c r="B6">
        <v>132.72</v>
      </c>
      <c r="C6" s="3">
        <v>0.78</v>
      </c>
      <c r="D6" s="3">
        <f>SUM(C6:C9)</f>
        <v>2.54</v>
      </c>
      <c r="E6" s="3">
        <f t="shared" si="0"/>
        <v>52.251968503937007</v>
      </c>
      <c r="F6" s="6">
        <v>35082</v>
      </c>
      <c r="G6" s="5">
        <v>24774</v>
      </c>
    </row>
    <row r="7" spans="1:7" x14ac:dyDescent="0.2">
      <c r="A7" s="1">
        <v>45504</v>
      </c>
      <c r="B7">
        <v>116.97</v>
      </c>
      <c r="C7" s="3">
        <v>0.67</v>
      </c>
      <c r="D7" s="3">
        <f>SUM(C7:C10)</f>
        <v>2.13</v>
      </c>
      <c r="E7" s="3">
        <f t="shared" si="0"/>
        <v>54.91549295774648</v>
      </c>
      <c r="F7" s="6">
        <v>30040</v>
      </c>
      <c r="G7" s="5">
        <v>24848</v>
      </c>
    </row>
    <row r="8" spans="1:7" x14ac:dyDescent="0.2">
      <c r="A8" s="1">
        <v>45412</v>
      </c>
      <c r="B8">
        <v>86.36</v>
      </c>
      <c r="C8" s="3">
        <v>0.6</v>
      </c>
      <c r="D8" s="3">
        <f>SUM(C8:C11)</f>
        <v>1.71</v>
      </c>
      <c r="E8" s="3">
        <f t="shared" si="0"/>
        <v>50.502923976608187</v>
      </c>
      <c r="F8" s="6">
        <v>26044</v>
      </c>
      <c r="G8" s="5">
        <v>24890</v>
      </c>
    </row>
    <row r="9" spans="1:7" x14ac:dyDescent="0.2">
      <c r="A9" s="1">
        <v>45322</v>
      </c>
      <c r="B9">
        <v>61.49</v>
      </c>
      <c r="C9" s="3">
        <v>0.49</v>
      </c>
      <c r="D9" s="3">
        <f>SUM(C9:C12)</f>
        <v>1.19</v>
      </c>
      <c r="E9" s="3">
        <f t="shared" si="0"/>
        <v>51.67226890756303</v>
      </c>
      <c r="F9" s="6">
        <v>22103</v>
      </c>
      <c r="G9" s="5">
        <v>24940</v>
      </c>
    </row>
    <row r="10" spans="1:7" x14ac:dyDescent="0.2">
      <c r="A10" s="1">
        <v>45230</v>
      </c>
      <c r="B10">
        <v>40.75</v>
      </c>
      <c r="C10" s="3">
        <v>0.37</v>
      </c>
      <c r="D10" s="3">
        <f>SUM(C10:C13)</f>
        <v>0.75</v>
      </c>
      <c r="E10" s="3">
        <f t="shared" si="0"/>
        <v>54.333333333333336</v>
      </c>
      <c r="F10" s="6">
        <v>18120</v>
      </c>
      <c r="G10" s="5">
        <v>24940</v>
      </c>
    </row>
    <row r="11" spans="1:7" x14ac:dyDescent="0.2">
      <c r="A11" s="1">
        <v>45138</v>
      </c>
      <c r="B11">
        <v>46.7</v>
      </c>
      <c r="C11" s="3">
        <v>0.25</v>
      </c>
      <c r="D11" s="3">
        <f>SUM(C11:C14)</f>
        <v>0.41000000000000003</v>
      </c>
      <c r="E11" s="3">
        <f t="shared" si="0"/>
        <v>113.90243902439025</v>
      </c>
      <c r="F11" s="6">
        <v>13507</v>
      </c>
      <c r="G11" s="5">
        <v>24994</v>
      </c>
    </row>
    <row r="12" spans="1:7" x14ac:dyDescent="0.2">
      <c r="A12" s="1">
        <v>45046</v>
      </c>
      <c r="B12">
        <v>27.73</v>
      </c>
      <c r="C12" s="3">
        <v>0.08</v>
      </c>
      <c r="D12" s="3">
        <f>SUM(C12:C15)</f>
        <v>0.19</v>
      </c>
      <c r="E12" s="3">
        <f t="shared" si="0"/>
        <v>145.94736842105263</v>
      </c>
      <c r="F12" s="6">
        <v>7192</v>
      </c>
      <c r="G12" s="5">
        <v>24900</v>
      </c>
    </row>
    <row r="13" spans="1:7" x14ac:dyDescent="0.2">
      <c r="A13" s="1">
        <v>44957</v>
      </c>
      <c r="B13">
        <v>19.52</v>
      </c>
      <c r="C13" s="3">
        <v>0.05</v>
      </c>
      <c r="D13" s="3">
        <f>SUM(C13:C16)</f>
        <v>0.16999999999999998</v>
      </c>
      <c r="E13" s="3">
        <f t="shared" si="0"/>
        <v>114.82352941176471</v>
      </c>
      <c r="F13" s="6">
        <v>6051</v>
      </c>
      <c r="G13" s="5">
        <v>25070</v>
      </c>
    </row>
    <row r="14" spans="1:7" x14ac:dyDescent="0.2">
      <c r="A14" s="1">
        <v>44865</v>
      </c>
      <c r="B14">
        <v>13.48</v>
      </c>
      <c r="C14" s="3">
        <v>0.03</v>
      </c>
      <c r="D14" s="3">
        <f>SUM(C14:C17)</f>
        <v>0.24</v>
      </c>
      <c r="E14" s="3">
        <f t="shared" si="0"/>
        <v>56.166666666666671</v>
      </c>
      <c r="F14" s="6">
        <v>5931</v>
      </c>
      <c r="G14" s="5">
        <v>24990</v>
      </c>
    </row>
    <row r="15" spans="1:7" x14ac:dyDescent="0.2">
      <c r="A15" s="1">
        <v>44773</v>
      </c>
      <c r="B15">
        <v>18.13</v>
      </c>
      <c r="C15" s="3">
        <v>0.03</v>
      </c>
      <c r="D15" s="3">
        <f>SUM(C15:C18)</f>
        <v>0.31</v>
      </c>
      <c r="E15" s="3">
        <f t="shared" si="0"/>
        <v>58.483870967741936</v>
      </c>
      <c r="F15" s="6">
        <v>6704</v>
      </c>
      <c r="G15" s="5">
        <v>25160</v>
      </c>
    </row>
    <row r="16" spans="1:7" x14ac:dyDescent="0.2">
      <c r="A16" s="1">
        <v>44681</v>
      </c>
      <c r="B16">
        <v>18.510000000000002</v>
      </c>
      <c r="C16" s="3">
        <v>0.06</v>
      </c>
      <c r="D16" s="3">
        <f>SUM(C16:C19)</f>
        <v>0.37</v>
      </c>
      <c r="E16" s="3">
        <f t="shared" si="0"/>
        <v>50.027027027027032</v>
      </c>
      <c r="F16" s="6">
        <v>8288</v>
      </c>
      <c r="G16" s="5">
        <v>25370</v>
      </c>
    </row>
    <row r="17" spans="1:7" x14ac:dyDescent="0.2">
      <c r="A17" s="1">
        <v>44592</v>
      </c>
      <c r="B17">
        <v>24.44</v>
      </c>
      <c r="C17" s="3">
        <v>0.12</v>
      </c>
      <c r="D17" s="3">
        <f>SUM(C17:C20)</f>
        <v>0.39</v>
      </c>
      <c r="E17" s="3">
        <f t="shared" si="0"/>
        <v>62.666666666666664</v>
      </c>
      <c r="F17" s="6">
        <v>7643</v>
      </c>
      <c r="G17" s="5">
        <v>25350</v>
      </c>
    </row>
    <row r="18" spans="1:7" x14ac:dyDescent="0.2">
      <c r="A18" s="1">
        <v>44500</v>
      </c>
      <c r="B18">
        <v>25.51</v>
      </c>
      <c r="C18" s="3">
        <v>0.1</v>
      </c>
      <c r="D18" s="3">
        <f>SUM(C18:C21)</f>
        <v>0.33</v>
      </c>
      <c r="E18" s="3">
        <f t="shared" si="0"/>
        <v>77.303030303030297</v>
      </c>
      <c r="F18" s="6">
        <v>7103</v>
      </c>
      <c r="G18" s="5">
        <v>25380</v>
      </c>
    </row>
    <row r="19" spans="1:7" x14ac:dyDescent="0.2">
      <c r="A19" s="1">
        <v>44408</v>
      </c>
      <c r="B19">
        <v>19.46</v>
      </c>
      <c r="C19" s="3">
        <v>0.09</v>
      </c>
      <c r="D19" s="3">
        <f>SUM(C19:C22)</f>
        <v>0.27999999999999997</v>
      </c>
      <c r="E19" s="3">
        <f t="shared" si="0"/>
        <v>69.500000000000014</v>
      </c>
      <c r="F19" s="6">
        <v>6507</v>
      </c>
      <c r="G19" s="5">
        <v>25320</v>
      </c>
    </row>
    <row r="20" spans="1:7" x14ac:dyDescent="0.2">
      <c r="A20" s="1">
        <v>44316</v>
      </c>
      <c r="B20">
        <v>14.97</v>
      </c>
      <c r="C20" s="3">
        <v>0.08</v>
      </c>
      <c r="D20" s="3">
        <f>SUM(C20:C23)</f>
        <v>0.22</v>
      </c>
      <c r="E20" s="3">
        <f t="shared" si="0"/>
        <v>68.045454545454547</v>
      </c>
      <c r="F20" s="6">
        <v>5661</v>
      </c>
      <c r="G20" s="5">
        <v>25280</v>
      </c>
    </row>
    <row r="21" spans="1:7" x14ac:dyDescent="0.2">
      <c r="A21" s="1">
        <v>44227</v>
      </c>
      <c r="B21">
        <v>12.95</v>
      </c>
      <c r="C21" s="3">
        <v>0.06</v>
      </c>
      <c r="D21" s="3">
        <f>SUM(C21:C24)</f>
        <v>0.18000000000000002</v>
      </c>
      <c r="E21" s="3">
        <f t="shared" si="0"/>
        <v>71.944444444444429</v>
      </c>
      <c r="F21" s="6">
        <v>5003</v>
      </c>
      <c r="G21" s="5">
        <v>25100</v>
      </c>
    </row>
    <row r="22" spans="1:7" x14ac:dyDescent="0.2">
      <c r="A22" s="1">
        <v>44135</v>
      </c>
      <c r="B22">
        <v>12.5</v>
      </c>
      <c r="C22" s="3">
        <v>0.05</v>
      </c>
      <c r="D22" s="3">
        <f>SUM(C22:C25)</f>
        <v>0.16</v>
      </c>
      <c r="E22" s="3">
        <f t="shared" si="0"/>
        <v>78.125</v>
      </c>
      <c r="F22" s="6">
        <v>4726</v>
      </c>
      <c r="G22" s="5">
        <v>25200</v>
      </c>
    </row>
    <row r="23" spans="1:7" x14ac:dyDescent="0.2">
      <c r="A23" s="1">
        <v>44043</v>
      </c>
      <c r="B23">
        <v>10.58</v>
      </c>
      <c r="C23" s="3">
        <v>0.03</v>
      </c>
      <c r="D23" s="3">
        <f>SUM(C23:C26)</f>
        <v>0.15000000000000002</v>
      </c>
      <c r="E23" s="3">
        <f t="shared" si="0"/>
        <v>70.533333333333317</v>
      </c>
      <c r="F23" s="6">
        <v>3866</v>
      </c>
      <c r="G23" s="5">
        <v>25040</v>
      </c>
    </row>
    <row r="24" spans="1:7" x14ac:dyDescent="0.2">
      <c r="A24" s="1">
        <v>43951</v>
      </c>
      <c r="B24">
        <v>7.28</v>
      </c>
      <c r="C24" s="3">
        <v>0.04</v>
      </c>
      <c r="D24" s="3">
        <f>SUM(C24:C27)</f>
        <v>0.13999999999999999</v>
      </c>
      <c r="E24" s="3">
        <f t="shared" si="0"/>
        <v>52.000000000000007</v>
      </c>
      <c r="F24" s="6">
        <v>3080</v>
      </c>
      <c r="G24" s="5">
        <v>24880</v>
      </c>
    </row>
    <row r="25" spans="1:7" x14ac:dyDescent="0.2">
      <c r="A25" s="1">
        <v>43861</v>
      </c>
      <c r="B25">
        <v>5.88</v>
      </c>
      <c r="C25" s="3">
        <v>0.04</v>
      </c>
      <c r="D25" s="3">
        <f>SUM(C25:C28)</f>
        <v>0.12000000000000001</v>
      </c>
      <c r="E25" s="3">
        <f t="shared" si="0"/>
        <v>48.999999999999993</v>
      </c>
      <c r="F25" s="6">
        <v>3105</v>
      </c>
      <c r="G25" s="5">
        <v>24720</v>
      </c>
    </row>
    <row r="26" spans="1:7" x14ac:dyDescent="0.2">
      <c r="A26" s="1">
        <v>43769</v>
      </c>
      <c r="B26">
        <v>5</v>
      </c>
      <c r="C26" s="3">
        <v>0.04</v>
      </c>
      <c r="D26" s="3">
        <f>SUM(C26:C29)</f>
        <v>0.1</v>
      </c>
      <c r="E26" s="3">
        <f t="shared" si="0"/>
        <v>50</v>
      </c>
      <c r="F26" s="6">
        <v>3014</v>
      </c>
      <c r="G26" s="5">
        <v>24720</v>
      </c>
    </row>
    <row r="27" spans="1:7" x14ac:dyDescent="0.2">
      <c r="A27" s="1">
        <v>43677</v>
      </c>
      <c r="B27">
        <v>4.1900000000000004</v>
      </c>
      <c r="C27" s="3">
        <v>0.02</v>
      </c>
      <c r="D27" s="3">
        <f>SUM(C27:C30)</f>
        <v>0.11</v>
      </c>
      <c r="E27" s="3">
        <f t="shared" si="0"/>
        <v>38.090909090909093</v>
      </c>
      <c r="F27" s="6">
        <v>2579</v>
      </c>
      <c r="G27" s="5">
        <v>24640</v>
      </c>
    </row>
    <row r="28" spans="1:7" x14ac:dyDescent="0.2">
      <c r="A28" s="1">
        <v>43585</v>
      </c>
      <c r="B28">
        <v>4.49</v>
      </c>
      <c r="C28" s="3">
        <v>0.02</v>
      </c>
      <c r="D28" s="3">
        <f>SUM(C28:C31)</f>
        <v>0.13</v>
      </c>
      <c r="E28" s="3">
        <f t="shared" si="0"/>
        <v>34.53846153846154</v>
      </c>
      <c r="F28" s="6">
        <v>2220</v>
      </c>
      <c r="G28" s="5">
        <v>24640</v>
      </c>
    </row>
    <row r="29" spans="1:7" x14ac:dyDescent="0.2">
      <c r="A29" s="1">
        <v>43496</v>
      </c>
      <c r="B29">
        <v>3.56</v>
      </c>
      <c r="C29" s="3">
        <v>0.02</v>
      </c>
      <c r="D29" s="3">
        <f>SUM(C29:C32)</f>
        <v>0.16000000000000003</v>
      </c>
      <c r="E29" s="3">
        <f t="shared" si="0"/>
        <v>22.249999999999996</v>
      </c>
      <c r="F29" s="6">
        <v>2205</v>
      </c>
      <c r="G29" s="5">
        <v>25000</v>
      </c>
    </row>
    <row r="30" spans="1:7" x14ac:dyDescent="0.2">
      <c r="A30" s="1">
        <v>43404</v>
      </c>
      <c r="B30">
        <v>5.22</v>
      </c>
      <c r="C30" s="3">
        <v>0.05</v>
      </c>
      <c r="D30" s="3">
        <f>SUM(C30:C33)</f>
        <v>0.19</v>
      </c>
      <c r="E30" s="3">
        <f t="shared" si="0"/>
        <v>27.473684210526315</v>
      </c>
      <c r="F30" s="6">
        <v>3181</v>
      </c>
      <c r="G30" s="5">
        <v>25000</v>
      </c>
    </row>
    <row r="31" spans="1:7" x14ac:dyDescent="0.2">
      <c r="A31" s="1">
        <v>43312</v>
      </c>
      <c r="B31">
        <v>6.06</v>
      </c>
      <c r="C31" s="3">
        <v>0.04</v>
      </c>
      <c r="D31" s="3">
        <f>SUM(C31:C34)</f>
        <v>0.17</v>
      </c>
      <c r="E31" s="3">
        <f t="shared" si="0"/>
        <v>35.647058823529406</v>
      </c>
      <c r="F31" s="6">
        <v>3123</v>
      </c>
      <c r="G31" s="5">
        <v>25040</v>
      </c>
    </row>
    <row r="32" spans="1:7" x14ac:dyDescent="0.2">
      <c r="A32" s="1">
        <v>43220</v>
      </c>
      <c r="B32">
        <v>5.56</v>
      </c>
      <c r="C32" s="3">
        <v>0.05</v>
      </c>
      <c r="D32" s="3">
        <f>SUM(C32:C35)</f>
        <v>0.15</v>
      </c>
      <c r="E32" s="3">
        <f t="shared" si="0"/>
        <v>37.066666666666663</v>
      </c>
      <c r="F32" s="6">
        <v>3207</v>
      </c>
      <c r="G32" s="5">
        <v>25080</v>
      </c>
    </row>
    <row r="33" spans="1:7" x14ac:dyDescent="0.2">
      <c r="A33" s="1">
        <v>43131</v>
      </c>
      <c r="B33">
        <v>6.08</v>
      </c>
      <c r="C33" s="3">
        <v>0.05</v>
      </c>
      <c r="D33" s="3">
        <f>SUM(C33:C36)</f>
        <v>0.12000000000000001</v>
      </c>
      <c r="E33" s="3">
        <f t="shared" si="0"/>
        <v>50.666666666666664</v>
      </c>
      <c r="F33" s="6">
        <v>2911</v>
      </c>
      <c r="G33" s="5">
        <v>25280</v>
      </c>
    </row>
    <row r="34" spans="1:7" x14ac:dyDescent="0.2">
      <c r="A34" s="1">
        <v>43039</v>
      </c>
      <c r="B34">
        <v>5.1100000000000003</v>
      </c>
      <c r="C34" s="3">
        <v>0.03</v>
      </c>
      <c r="D34" s="3">
        <f>SUM(C34:C37)</f>
        <v>0.1</v>
      </c>
      <c r="E34" s="3">
        <f t="shared" si="0"/>
        <v>51.1</v>
      </c>
      <c r="F34" s="6">
        <v>2636</v>
      </c>
      <c r="G34" s="5">
        <v>25120</v>
      </c>
    </row>
    <row r="35" spans="1:7" x14ac:dyDescent="0.2">
      <c r="A35" s="1">
        <v>42947</v>
      </c>
      <c r="B35">
        <v>4.01</v>
      </c>
      <c r="C35" s="3">
        <v>0.02</v>
      </c>
      <c r="D35" s="3">
        <f>SUM(C35:C38)</f>
        <v>9.0000000000000011E-2</v>
      </c>
      <c r="E35" s="3">
        <f t="shared" si="0"/>
        <v>44.55555555555555</v>
      </c>
      <c r="F35" s="6">
        <v>2230</v>
      </c>
      <c r="G35" s="5">
        <v>25320</v>
      </c>
    </row>
    <row r="36" spans="1:7" x14ac:dyDescent="0.2">
      <c r="A36" s="1">
        <v>42855</v>
      </c>
      <c r="B36">
        <v>2.57</v>
      </c>
      <c r="C36" s="3">
        <v>0.02</v>
      </c>
      <c r="D36" s="3">
        <f>SUM(C36:C39)</f>
        <v>0.08</v>
      </c>
      <c r="E36" s="3">
        <f t="shared" si="0"/>
        <v>32.125</v>
      </c>
      <c r="F36" s="6">
        <v>1937</v>
      </c>
      <c r="G36" s="5">
        <v>25640</v>
      </c>
    </row>
    <row r="37" spans="1:7" x14ac:dyDescent="0.2">
      <c r="A37" s="1">
        <v>42766</v>
      </c>
      <c r="B37">
        <v>2.69</v>
      </c>
      <c r="C37" s="3">
        <v>0.03</v>
      </c>
      <c r="D37" s="3">
        <f>SUM(C37:C40)</f>
        <v>7.0000000000000007E-2</v>
      </c>
      <c r="E37" s="3">
        <f t="shared" si="0"/>
        <v>38.428571428571423</v>
      </c>
      <c r="F37" s="6">
        <v>2173</v>
      </c>
      <c r="G37" s="5">
        <v>25960</v>
      </c>
    </row>
    <row r="38" spans="1:7" x14ac:dyDescent="0.2">
      <c r="A38" s="1">
        <v>42674</v>
      </c>
      <c r="B38">
        <v>1.75</v>
      </c>
      <c r="C38" s="3">
        <v>0.02</v>
      </c>
      <c r="D38" s="3">
        <f>SUM(C38:C41)</f>
        <v>0.05</v>
      </c>
      <c r="E38" s="3">
        <f t="shared" si="0"/>
        <v>35</v>
      </c>
      <c r="F38" s="6">
        <v>2004</v>
      </c>
      <c r="G38" s="5">
        <v>26120</v>
      </c>
    </row>
    <row r="39" spans="1:7" x14ac:dyDescent="0.2">
      <c r="A39" s="1">
        <v>42582</v>
      </c>
      <c r="B39">
        <v>1.4</v>
      </c>
      <c r="C39" s="3">
        <v>0.01</v>
      </c>
      <c r="D39" s="3">
        <f>SUM(C39:C42)</f>
        <v>0.04</v>
      </c>
      <c r="E39" s="3">
        <f t="shared" si="0"/>
        <v>35</v>
      </c>
      <c r="F39" s="6">
        <v>1428</v>
      </c>
      <c r="G39" s="5">
        <v>25360</v>
      </c>
    </row>
    <row r="40" spans="1:7" x14ac:dyDescent="0.2">
      <c r="A40" s="1">
        <v>42490</v>
      </c>
      <c r="B40">
        <v>0.87</v>
      </c>
      <c r="C40" s="3">
        <v>0.01</v>
      </c>
      <c r="D40" s="3">
        <f>SUM(C40:C43)</f>
        <v>0.03</v>
      </c>
      <c r="E40" s="3">
        <f t="shared" si="0"/>
        <v>29</v>
      </c>
      <c r="F40" s="6">
        <v>1305</v>
      </c>
      <c r="G40" s="5">
        <v>23960</v>
      </c>
    </row>
    <row r="41" spans="1:7" x14ac:dyDescent="0.2">
      <c r="A41" s="1">
        <v>42400</v>
      </c>
      <c r="B41">
        <v>0.71</v>
      </c>
      <c r="C41" s="3">
        <v>0.01</v>
      </c>
      <c r="D41" s="3">
        <f>SUM(C41:C44)</f>
        <v>0.03</v>
      </c>
      <c r="E41" s="3">
        <f t="shared" si="0"/>
        <v>23.666666666666668</v>
      </c>
      <c r="F41" s="6">
        <v>1401</v>
      </c>
      <c r="G41" s="5">
        <v>22760</v>
      </c>
    </row>
    <row r="42" spans="1:7" x14ac:dyDescent="0.2">
      <c r="A42" s="1">
        <v>42308</v>
      </c>
      <c r="B42">
        <v>0.69</v>
      </c>
      <c r="C42" s="3">
        <v>0.01</v>
      </c>
      <c r="D42" s="3">
        <f>SUM(C42:C45)</f>
        <v>0.03</v>
      </c>
      <c r="E42" s="3">
        <f t="shared" si="0"/>
        <v>23</v>
      </c>
      <c r="F42" s="6">
        <v>1305</v>
      </c>
      <c r="G42" s="5">
        <v>22600</v>
      </c>
    </row>
    <row r="43" spans="1:7" x14ac:dyDescent="0.2">
      <c r="A43" s="1">
        <v>42216</v>
      </c>
      <c r="B43">
        <v>0.48</v>
      </c>
      <c r="C43" s="3">
        <v>0</v>
      </c>
      <c r="D43" s="3">
        <f>SUM(C43:C46)</f>
        <v>0.03</v>
      </c>
      <c r="E43" s="3">
        <f t="shared" si="0"/>
        <v>16</v>
      </c>
      <c r="F43" s="6">
        <v>1153</v>
      </c>
      <c r="G43" s="5">
        <v>22240</v>
      </c>
    </row>
    <row r="44" spans="1:7" x14ac:dyDescent="0.2">
      <c r="A44" s="1">
        <v>42124</v>
      </c>
      <c r="B44">
        <v>0.53</v>
      </c>
      <c r="C44" s="3">
        <v>0.01</v>
      </c>
      <c r="D44" s="3">
        <f>SUM(C44:C47)</f>
        <v>0.04</v>
      </c>
      <c r="E44" s="3">
        <f t="shared" si="0"/>
        <v>13.25</v>
      </c>
      <c r="F44" s="6">
        <v>1151</v>
      </c>
      <c r="G44" s="5">
        <v>22720</v>
      </c>
    </row>
    <row r="45" spans="1:7" x14ac:dyDescent="0.2">
      <c r="A45" s="1">
        <v>42035</v>
      </c>
      <c r="B45">
        <v>0.46</v>
      </c>
      <c r="C45" s="3">
        <v>0.01</v>
      </c>
      <c r="D45" s="3">
        <f>SUM(C45:C48)</f>
        <v>0.04</v>
      </c>
      <c r="E45" s="3">
        <f t="shared" si="0"/>
        <v>11.5</v>
      </c>
      <c r="F45" s="6">
        <v>1251</v>
      </c>
      <c r="G45" s="5">
        <v>22520</v>
      </c>
    </row>
    <row r="46" spans="1:7" x14ac:dyDescent="0.2">
      <c r="A46" s="1">
        <v>41943</v>
      </c>
      <c r="B46">
        <v>0.47</v>
      </c>
      <c r="C46" s="3">
        <v>0.01</v>
      </c>
      <c r="D46" s="3">
        <f>SUM(C46:C49)</f>
        <v>0.04</v>
      </c>
      <c r="E46" s="3">
        <f t="shared" si="0"/>
        <v>11.749999999999998</v>
      </c>
      <c r="F46" s="6">
        <v>1225</v>
      </c>
      <c r="G46" s="5">
        <v>22320</v>
      </c>
    </row>
    <row r="47" spans="1:7" x14ac:dyDescent="0.2">
      <c r="A47" s="1">
        <v>41851</v>
      </c>
      <c r="B47">
        <v>0.42</v>
      </c>
      <c r="C47" s="3">
        <v>0.01</v>
      </c>
      <c r="D47" s="3">
        <f>SUM(C47:C50)</f>
        <v>0.04</v>
      </c>
      <c r="E47" s="3">
        <f t="shared" si="0"/>
        <v>10.5</v>
      </c>
      <c r="F47" s="6">
        <v>1103</v>
      </c>
      <c r="G47" s="5">
        <v>22840</v>
      </c>
    </row>
    <row r="48" spans="1:7" x14ac:dyDescent="0.2">
      <c r="A48" s="1">
        <v>41759</v>
      </c>
      <c r="B48">
        <v>0.44</v>
      </c>
      <c r="C48" s="3">
        <v>0.01</v>
      </c>
      <c r="D48" s="3">
        <f>SUM(C48:C51)</f>
        <v>0.03</v>
      </c>
      <c r="E48" s="3">
        <f t="shared" si="0"/>
        <v>14.666666666666668</v>
      </c>
      <c r="F48" s="6">
        <v>1103</v>
      </c>
      <c r="G48" s="5">
        <v>22800</v>
      </c>
    </row>
    <row r="49" spans="1:7" x14ac:dyDescent="0.2">
      <c r="A49" s="1">
        <v>41670</v>
      </c>
      <c r="B49">
        <v>0.37</v>
      </c>
      <c r="C49" s="3">
        <v>0.01</v>
      </c>
      <c r="D49" s="3">
        <f>SUM(C49:C52)</f>
        <v>0.02</v>
      </c>
      <c r="E49" s="3">
        <f t="shared" si="0"/>
        <v>18.5</v>
      </c>
      <c r="F49" s="6">
        <v>1144</v>
      </c>
      <c r="G49" s="5">
        <v>23800</v>
      </c>
    </row>
    <row r="50" spans="1:7" x14ac:dyDescent="0.2">
      <c r="A50" s="1">
        <v>41578</v>
      </c>
      <c r="B50">
        <v>0.36</v>
      </c>
      <c r="C50" s="3">
        <v>0.01</v>
      </c>
      <c r="D50" s="3">
        <f>SUM(C50:C53)</f>
        <v>0.02</v>
      </c>
      <c r="E50" s="3">
        <f t="shared" si="0"/>
        <v>18</v>
      </c>
      <c r="F50" s="6">
        <v>1054</v>
      </c>
      <c r="G50" s="5">
        <v>23550</v>
      </c>
    </row>
    <row r="51" spans="1:7" x14ac:dyDescent="0.2">
      <c r="A51" s="1">
        <v>41486</v>
      </c>
      <c r="B51">
        <v>0.34</v>
      </c>
      <c r="C51" s="3">
        <v>0</v>
      </c>
      <c r="D51" s="3">
        <f>SUM(C51:C54)</f>
        <v>0.02</v>
      </c>
      <c r="E51" s="3">
        <f t="shared" si="0"/>
        <v>17</v>
      </c>
      <c r="F51" s="6">
        <v>977</v>
      </c>
      <c r="G51" s="5">
        <v>23680</v>
      </c>
    </row>
    <row r="52" spans="1:7" x14ac:dyDescent="0.2">
      <c r="A52" s="1">
        <v>41394</v>
      </c>
      <c r="B52">
        <v>0.32</v>
      </c>
      <c r="C52" s="3">
        <v>0</v>
      </c>
      <c r="D52" s="3">
        <f>SUM(C52:C55)</f>
        <v>0.03</v>
      </c>
      <c r="E52" s="3">
        <f t="shared" si="0"/>
        <v>10.666666666666668</v>
      </c>
      <c r="F52" s="6">
        <v>955</v>
      </c>
      <c r="G52" s="5">
        <v>24772</v>
      </c>
    </row>
    <row r="53" spans="1:7" x14ac:dyDescent="0.2">
      <c r="A53" s="1">
        <v>41305</v>
      </c>
      <c r="B53">
        <v>0.28000000000000003</v>
      </c>
      <c r="C53" s="3">
        <v>0.01</v>
      </c>
      <c r="D53" s="3">
        <f>SUM(C53:C56)</f>
        <v>0.03</v>
      </c>
      <c r="E53" s="3">
        <f t="shared" si="0"/>
        <v>9.3333333333333339</v>
      </c>
      <c r="F53" s="6">
        <v>1107</v>
      </c>
      <c r="G53" s="5">
        <v>24998</v>
      </c>
    </row>
    <row r="54" spans="1:7" x14ac:dyDescent="0.2">
      <c r="A54" s="1">
        <v>41213</v>
      </c>
      <c r="B54">
        <v>0.27</v>
      </c>
      <c r="C54" s="3">
        <v>0.01</v>
      </c>
      <c r="D54" s="3">
        <f>SUM(C54:C57)</f>
        <v>0.03</v>
      </c>
      <c r="E54" s="3">
        <f t="shared" si="0"/>
        <v>9.0000000000000018</v>
      </c>
      <c r="F54" s="6">
        <v>1204</v>
      </c>
      <c r="G54" s="5">
        <v>25154</v>
      </c>
    </row>
    <row r="55" spans="1:7" x14ac:dyDescent="0.2">
      <c r="A55" s="1">
        <v>41121</v>
      </c>
      <c r="B55">
        <v>0.31</v>
      </c>
      <c r="C55" s="3">
        <v>0.01</v>
      </c>
      <c r="D55" s="3">
        <f>SUM(C55:C58)</f>
        <v>0.03</v>
      </c>
      <c r="E55" s="3">
        <f t="shared" si="0"/>
        <v>10.333333333333334</v>
      </c>
      <c r="F55" s="6">
        <v>1044</v>
      </c>
      <c r="G55" s="5">
        <v>24926</v>
      </c>
    </row>
    <row r="56" spans="1:7" x14ac:dyDescent="0.2">
      <c r="A56" s="1">
        <v>41029</v>
      </c>
      <c r="B56">
        <v>0.3</v>
      </c>
      <c r="C56" s="3">
        <v>0</v>
      </c>
      <c r="D56" s="3">
        <f>SUM(C56:C59)</f>
        <v>0.03</v>
      </c>
      <c r="E56" s="3">
        <f t="shared" si="0"/>
        <v>10</v>
      </c>
      <c r="F56" s="6">
        <v>925</v>
      </c>
      <c r="G56" s="5">
        <v>24951</v>
      </c>
    </row>
    <row r="57" spans="1:7" x14ac:dyDescent="0.2">
      <c r="A57" s="1">
        <v>40939</v>
      </c>
      <c r="B57">
        <v>0.34</v>
      </c>
      <c r="C57" s="3">
        <v>0.01</v>
      </c>
      <c r="D57" s="3">
        <f>SUM(C57:C60)</f>
        <v>0.04</v>
      </c>
      <c r="E57" s="3">
        <f t="shared" si="0"/>
        <v>8.5</v>
      </c>
      <c r="F57" s="6">
        <v>953</v>
      </c>
      <c r="G57" s="5">
        <v>24655</v>
      </c>
    </row>
    <row r="58" spans="1:7" x14ac:dyDescent="0.2">
      <c r="A58" s="1">
        <v>40847</v>
      </c>
      <c r="B58">
        <v>0.34</v>
      </c>
      <c r="C58" s="3">
        <v>0.01</v>
      </c>
      <c r="D58" s="3"/>
      <c r="E58" s="3">
        <v>13</v>
      </c>
      <c r="F58" s="6">
        <v>1066</v>
      </c>
      <c r="G58" s="5">
        <v>24542</v>
      </c>
    </row>
    <row r="59" spans="1:7" x14ac:dyDescent="0.2">
      <c r="A59" s="1">
        <v>40755</v>
      </c>
      <c r="B59">
        <v>0.32</v>
      </c>
      <c r="C59" s="3">
        <v>0.01</v>
      </c>
      <c r="D59" s="3"/>
      <c r="E59" s="3">
        <v>14.02</v>
      </c>
      <c r="F59" s="6">
        <v>1017</v>
      </c>
      <c r="G59" s="5">
        <v>24557</v>
      </c>
    </row>
    <row r="60" spans="1:7" x14ac:dyDescent="0.2">
      <c r="A60" s="1">
        <v>40663</v>
      </c>
      <c r="B60">
        <v>0.46</v>
      </c>
      <c r="C60" s="3">
        <v>0.01</v>
      </c>
      <c r="D60" s="3"/>
      <c r="E60" s="3">
        <v>45.84</v>
      </c>
      <c r="F60" s="6">
        <v>962</v>
      </c>
      <c r="G60" s="5">
        <v>24539</v>
      </c>
    </row>
    <row r="61" spans="1:7" x14ac:dyDescent="0.2">
      <c r="F61" s="6"/>
    </row>
    <row r="62" spans="1:7" x14ac:dyDescent="0.2">
      <c r="A62" s="1"/>
      <c r="C62" s="2"/>
    </row>
    <row r="63" spans="1:7" x14ac:dyDescent="0.2">
      <c r="A63" s="1"/>
      <c r="C63" s="2"/>
    </row>
    <row r="64" spans="1:7" x14ac:dyDescent="0.2">
      <c r="A64" s="1"/>
      <c r="C64" s="2"/>
    </row>
    <row r="65" spans="1:3" x14ac:dyDescent="0.2">
      <c r="A65" s="1"/>
      <c r="C65" s="2"/>
    </row>
    <row r="66" spans="1:3" x14ac:dyDescent="0.2">
      <c r="A66" s="1"/>
      <c r="C66" s="2"/>
    </row>
    <row r="67" spans="1:3" x14ac:dyDescent="0.2">
      <c r="A67" s="1"/>
      <c r="C67" s="2"/>
    </row>
    <row r="68" spans="1:3" x14ac:dyDescent="0.2">
      <c r="A68" s="1"/>
      <c r="C68" s="2"/>
    </row>
    <row r="69" spans="1:3" x14ac:dyDescent="0.2">
      <c r="A69" s="1"/>
      <c r="C69" s="2"/>
    </row>
    <row r="70" spans="1:3" x14ac:dyDescent="0.2">
      <c r="A70" s="1"/>
      <c r="C70" s="2"/>
    </row>
    <row r="71" spans="1:3" x14ac:dyDescent="0.2">
      <c r="A71" s="1"/>
      <c r="C71" s="2"/>
    </row>
    <row r="72" spans="1:3" x14ac:dyDescent="0.2">
      <c r="A72" s="1"/>
      <c r="C72" s="2"/>
    </row>
    <row r="73" spans="1:3" x14ac:dyDescent="0.2">
      <c r="A73" s="1"/>
      <c r="C73" s="2"/>
    </row>
    <row r="74" spans="1:3" x14ac:dyDescent="0.2">
      <c r="A74" s="1"/>
      <c r="C74" s="2"/>
    </row>
    <row r="75" spans="1:3" x14ac:dyDescent="0.2">
      <c r="A75" s="1"/>
      <c r="C75" s="2"/>
    </row>
    <row r="76" spans="1:3" x14ac:dyDescent="0.2">
      <c r="A76" s="1"/>
      <c r="C76" s="2"/>
    </row>
    <row r="77" spans="1:3" x14ac:dyDescent="0.2">
      <c r="A77" s="1"/>
      <c r="C77" s="2"/>
    </row>
    <row r="78" spans="1:3" x14ac:dyDescent="0.2">
      <c r="A78" s="1"/>
      <c r="C7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62E9-3D7E-8144-AF10-6D948A0D5A76}">
  <dimension ref="A1:I78"/>
  <sheetViews>
    <sheetView showGridLines="0" workbookViewId="0">
      <pane ySplit="1" topLeftCell="A25" activePane="bottomLeft" state="frozen"/>
      <selection pane="bottomLeft" activeCell="A2" sqref="A2:G60"/>
    </sheetView>
  </sheetViews>
  <sheetFormatPr baseColWidth="10" defaultRowHeight="16" x14ac:dyDescent="0.2"/>
  <sheetData>
    <row r="1" spans="1:9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10</v>
      </c>
      <c r="G1" s="7" t="s">
        <v>15</v>
      </c>
    </row>
    <row r="2" spans="1:9" x14ac:dyDescent="0.2">
      <c r="A2" s="1">
        <v>45930</v>
      </c>
      <c r="B2">
        <v>242.94</v>
      </c>
      <c r="C2" s="3">
        <v>2.87</v>
      </c>
      <c r="D2" s="3">
        <f>SUM(C2:C5)</f>
        <v>10.130000000000001</v>
      </c>
      <c r="E2" s="3">
        <f>IFERROR(B2/D2,"")</f>
        <v>23.982230997038496</v>
      </c>
      <c r="F2" s="6">
        <v>102346</v>
      </c>
      <c r="G2" s="5">
        <v>13048</v>
      </c>
    </row>
    <row r="3" spans="1:9" x14ac:dyDescent="0.2">
      <c r="A3" s="1">
        <v>45838</v>
      </c>
      <c r="B3">
        <v>175.96</v>
      </c>
      <c r="C3" s="3">
        <v>2.31</v>
      </c>
      <c r="D3" s="3">
        <f t="shared" ref="D3:D60" si="0">SUM(C3:C6)</f>
        <v>9.379999999999999</v>
      </c>
      <c r="E3" s="3">
        <f t="shared" ref="E3:E58" si="1">IFERROR(B3/D3,"")</f>
        <v>18.759061833688701</v>
      </c>
      <c r="F3" s="6">
        <v>96428</v>
      </c>
      <c r="G3" s="5">
        <v>13050</v>
      </c>
      <c r="I3" s="1"/>
    </row>
    <row r="4" spans="1:9" x14ac:dyDescent="0.2">
      <c r="A4" s="1">
        <v>45747</v>
      </c>
      <c r="B4">
        <v>154.21</v>
      </c>
      <c r="C4" s="3">
        <v>2.81</v>
      </c>
      <c r="D4" s="3">
        <f t="shared" si="0"/>
        <v>8.9600000000000009</v>
      </c>
      <c r="E4" s="3">
        <f t="shared" si="1"/>
        <v>17.2109375</v>
      </c>
      <c r="F4" s="6">
        <v>90234</v>
      </c>
      <c r="G4" s="5">
        <v>13150</v>
      </c>
      <c r="I4" s="1"/>
    </row>
    <row r="5" spans="1:9" x14ac:dyDescent="0.2">
      <c r="A5" s="1">
        <v>45657</v>
      </c>
      <c r="B5">
        <v>188.56</v>
      </c>
      <c r="C5" s="3">
        <v>2.14</v>
      </c>
      <c r="D5" s="3">
        <f t="shared" si="0"/>
        <v>8.0399999999999991</v>
      </c>
      <c r="E5" s="3">
        <f t="shared" si="1"/>
        <v>23.452736318407965</v>
      </c>
      <c r="F5" s="6">
        <v>96469</v>
      </c>
      <c r="G5" s="5">
        <v>13313</v>
      </c>
      <c r="I5" s="1"/>
    </row>
    <row r="6" spans="1:9" x14ac:dyDescent="0.2">
      <c r="A6" s="1">
        <v>45565</v>
      </c>
      <c r="B6">
        <v>165.01</v>
      </c>
      <c r="C6" s="3">
        <v>2.12</v>
      </c>
      <c r="D6" s="3">
        <f t="shared" si="0"/>
        <v>7.5399999999999991</v>
      </c>
      <c r="E6" s="3">
        <f t="shared" si="1"/>
        <v>21.884615384615387</v>
      </c>
      <c r="F6" s="6">
        <v>88268</v>
      </c>
      <c r="G6" s="5">
        <v>13284</v>
      </c>
      <c r="I6" s="1"/>
    </row>
    <row r="7" spans="1:9" x14ac:dyDescent="0.2">
      <c r="A7" s="1">
        <v>45473</v>
      </c>
      <c r="B7">
        <v>180.99</v>
      </c>
      <c r="C7" s="3">
        <v>1.89</v>
      </c>
      <c r="D7" s="3">
        <f t="shared" si="0"/>
        <v>6.97</v>
      </c>
      <c r="E7" s="3">
        <f t="shared" si="1"/>
        <v>25.967001434720231</v>
      </c>
      <c r="F7" s="6">
        <v>84742</v>
      </c>
      <c r="G7" s="5">
        <v>13361</v>
      </c>
      <c r="I7" s="1"/>
    </row>
    <row r="8" spans="1:9" x14ac:dyDescent="0.2">
      <c r="A8" s="1">
        <v>45382</v>
      </c>
      <c r="B8">
        <v>149.80000000000001</v>
      </c>
      <c r="C8" s="3">
        <v>1.89</v>
      </c>
      <c r="D8" s="3">
        <f t="shared" si="0"/>
        <v>6.52</v>
      </c>
      <c r="E8" s="3">
        <f t="shared" si="1"/>
        <v>22.975460122699388</v>
      </c>
      <c r="F8" s="6">
        <v>80539</v>
      </c>
      <c r="G8" s="5">
        <v>13396</v>
      </c>
      <c r="I8" s="1"/>
    </row>
    <row r="9" spans="1:9" x14ac:dyDescent="0.2">
      <c r="A9" s="1">
        <v>45291</v>
      </c>
      <c r="B9">
        <v>138.63999999999999</v>
      </c>
      <c r="C9" s="3">
        <v>1.64</v>
      </c>
      <c r="D9" s="3">
        <f t="shared" si="0"/>
        <v>5.8</v>
      </c>
      <c r="E9" s="3">
        <f t="shared" si="1"/>
        <v>23.903448275862068</v>
      </c>
      <c r="F9" s="6">
        <v>86310</v>
      </c>
      <c r="G9" s="5">
        <v>13599</v>
      </c>
      <c r="I9" s="1"/>
    </row>
    <row r="10" spans="1:9" x14ac:dyDescent="0.2">
      <c r="A10" s="1">
        <v>45199</v>
      </c>
      <c r="B10">
        <v>129.88</v>
      </c>
      <c r="C10" s="3">
        <v>1.55</v>
      </c>
      <c r="D10" s="3">
        <f t="shared" si="0"/>
        <v>5.3</v>
      </c>
      <c r="E10" s="3">
        <f t="shared" si="1"/>
        <v>24.505660377358492</v>
      </c>
      <c r="F10" s="6">
        <v>76693</v>
      </c>
      <c r="G10" s="5">
        <v>13571</v>
      </c>
      <c r="I10" s="1"/>
    </row>
    <row r="11" spans="1:9" x14ac:dyDescent="0.2">
      <c r="A11" s="1">
        <v>45107</v>
      </c>
      <c r="B11">
        <v>118.8</v>
      </c>
      <c r="C11" s="3">
        <v>1.44</v>
      </c>
      <c r="D11" s="3">
        <f t="shared" si="0"/>
        <v>4.8100000000000005</v>
      </c>
      <c r="E11" s="3">
        <f t="shared" si="1"/>
        <v>24.698544698544694</v>
      </c>
      <c r="F11" s="6">
        <v>74604</v>
      </c>
      <c r="G11" s="5">
        <v>13643</v>
      </c>
      <c r="I11" s="1"/>
    </row>
    <row r="12" spans="1:9" x14ac:dyDescent="0.2">
      <c r="A12" s="1">
        <v>45016</v>
      </c>
      <c r="B12">
        <v>102.95</v>
      </c>
      <c r="C12" s="3">
        <v>1.17</v>
      </c>
      <c r="D12" s="3">
        <f t="shared" si="0"/>
        <v>4.5</v>
      </c>
      <c r="E12" s="3">
        <f t="shared" si="1"/>
        <v>22.87777777777778</v>
      </c>
      <c r="F12" s="6">
        <v>69787</v>
      </c>
      <c r="G12" s="5">
        <v>13706</v>
      </c>
      <c r="I12" s="1"/>
    </row>
    <row r="13" spans="1:9" x14ac:dyDescent="0.2">
      <c r="A13" s="1">
        <v>44926</v>
      </c>
      <c r="B13">
        <v>87.57</v>
      </c>
      <c r="C13" s="3">
        <v>1.1399999999999999</v>
      </c>
      <c r="D13" s="3">
        <f t="shared" si="0"/>
        <v>4.5600000000000005</v>
      </c>
      <c r="E13" s="3">
        <f t="shared" si="1"/>
        <v>19.203947368421048</v>
      </c>
      <c r="F13" s="6">
        <v>76048</v>
      </c>
      <c r="G13" s="5">
        <v>14046</v>
      </c>
      <c r="I13" s="1"/>
    </row>
    <row r="14" spans="1:9" x14ac:dyDescent="0.2">
      <c r="A14" s="1">
        <v>44834</v>
      </c>
      <c r="B14">
        <v>94.93</v>
      </c>
      <c r="C14" s="3">
        <v>1.06</v>
      </c>
      <c r="D14" s="3">
        <f t="shared" si="0"/>
        <v>4.96</v>
      </c>
      <c r="E14" s="3">
        <f t="shared" si="1"/>
        <v>19.139112903225808</v>
      </c>
      <c r="F14" s="6">
        <v>69092</v>
      </c>
      <c r="G14" s="5">
        <v>13982</v>
      </c>
      <c r="I14" s="1"/>
    </row>
    <row r="15" spans="1:9" x14ac:dyDescent="0.2">
      <c r="A15" s="1">
        <v>44742</v>
      </c>
      <c r="B15">
        <v>108.15</v>
      </c>
      <c r="C15" s="3">
        <v>1.1299999999999999</v>
      </c>
      <c r="D15" s="3">
        <f t="shared" si="0"/>
        <v>5.3</v>
      </c>
      <c r="E15" s="3">
        <f t="shared" si="1"/>
        <v>20.405660377358494</v>
      </c>
      <c r="F15" s="6">
        <v>69685</v>
      </c>
      <c r="G15" s="5">
        <v>14126</v>
      </c>
      <c r="I15" s="1"/>
    </row>
    <row r="16" spans="1:9" x14ac:dyDescent="0.2">
      <c r="A16" s="1">
        <v>44651</v>
      </c>
      <c r="B16">
        <v>138.03</v>
      </c>
      <c r="C16" s="3">
        <v>1.23</v>
      </c>
      <c r="D16" s="3">
        <f t="shared" si="0"/>
        <v>5.53</v>
      </c>
      <c r="E16" s="3">
        <f t="shared" si="1"/>
        <v>24.960216998191679</v>
      </c>
      <c r="F16" s="6">
        <v>68011</v>
      </c>
      <c r="G16" s="5">
        <v>14242</v>
      </c>
      <c r="I16" s="1"/>
    </row>
    <row r="17" spans="1:9" x14ac:dyDescent="0.2">
      <c r="A17" s="1">
        <v>44561</v>
      </c>
      <c r="B17">
        <v>143.77000000000001</v>
      </c>
      <c r="C17" s="3">
        <v>1.54</v>
      </c>
      <c r="D17" s="3">
        <f t="shared" si="0"/>
        <v>5.62</v>
      </c>
      <c r="E17" s="3">
        <f t="shared" si="1"/>
        <v>25.581850533807831</v>
      </c>
      <c r="F17" s="6">
        <v>75325</v>
      </c>
      <c r="G17" s="5">
        <v>14462</v>
      </c>
      <c r="I17" s="1"/>
    </row>
    <row r="18" spans="1:9" x14ac:dyDescent="0.2">
      <c r="A18" s="1">
        <v>44469</v>
      </c>
      <c r="B18">
        <v>132.66999999999999</v>
      </c>
      <c r="C18" s="3">
        <v>1.4</v>
      </c>
      <c r="D18" s="3">
        <f t="shared" si="0"/>
        <v>5.19</v>
      </c>
      <c r="E18" s="3">
        <f t="shared" si="1"/>
        <v>25.562620423892096</v>
      </c>
      <c r="F18" s="6">
        <v>65118</v>
      </c>
      <c r="G18" s="5">
        <v>14438</v>
      </c>
      <c r="I18" s="1"/>
    </row>
    <row r="19" spans="1:9" x14ac:dyDescent="0.2">
      <c r="A19" s="1">
        <v>44377</v>
      </c>
      <c r="B19">
        <v>121.17</v>
      </c>
      <c r="C19" s="3">
        <v>1.36</v>
      </c>
      <c r="D19" s="3">
        <f t="shared" si="0"/>
        <v>4.6100000000000003</v>
      </c>
      <c r="E19" s="3">
        <f t="shared" si="1"/>
        <v>26.284164859002168</v>
      </c>
      <c r="F19" s="6">
        <v>61880</v>
      </c>
      <c r="G19" s="5">
        <v>14506</v>
      </c>
      <c r="I19" s="1"/>
    </row>
    <row r="20" spans="1:9" x14ac:dyDescent="0.2">
      <c r="A20" s="1">
        <v>44286</v>
      </c>
      <c r="B20">
        <v>102.35</v>
      </c>
      <c r="C20" s="3">
        <v>1.32</v>
      </c>
      <c r="D20" s="3">
        <f t="shared" si="0"/>
        <v>3.76</v>
      </c>
      <c r="E20" s="3">
        <f t="shared" si="1"/>
        <v>27.220744680851062</v>
      </c>
      <c r="F20" s="6">
        <v>55314</v>
      </c>
      <c r="G20" s="5">
        <v>14558</v>
      </c>
      <c r="I20" s="1"/>
    </row>
    <row r="21" spans="1:9" x14ac:dyDescent="0.2">
      <c r="A21" s="1">
        <v>44196</v>
      </c>
      <c r="B21">
        <v>86.97</v>
      </c>
      <c r="C21" s="3">
        <v>1.1100000000000001</v>
      </c>
      <c r="D21" s="3">
        <f t="shared" si="0"/>
        <v>2.9300000000000006</v>
      </c>
      <c r="E21" s="3">
        <f t="shared" si="1"/>
        <v>29.682593856655284</v>
      </c>
      <c r="F21" s="6">
        <v>56898</v>
      </c>
      <c r="G21" s="5">
        <v>14665</v>
      </c>
      <c r="I21" s="1"/>
    </row>
    <row r="22" spans="1:9" x14ac:dyDescent="0.2">
      <c r="A22" s="1">
        <v>44104</v>
      </c>
      <c r="B22">
        <v>72.73</v>
      </c>
      <c r="C22" s="3">
        <v>0.82</v>
      </c>
      <c r="D22" s="3">
        <f t="shared" si="0"/>
        <v>2.59</v>
      </c>
      <c r="E22" s="3">
        <f t="shared" si="1"/>
        <v>28.081081081081084</v>
      </c>
      <c r="F22" s="6">
        <v>46173</v>
      </c>
      <c r="G22" s="5">
        <v>14639</v>
      </c>
      <c r="I22" s="1"/>
    </row>
    <row r="23" spans="1:9" x14ac:dyDescent="0.2">
      <c r="A23" s="1">
        <v>44012</v>
      </c>
      <c r="B23">
        <v>70.37</v>
      </c>
      <c r="C23" s="3">
        <v>0.51</v>
      </c>
      <c r="D23" s="3">
        <f t="shared" si="0"/>
        <v>2.2800000000000002</v>
      </c>
      <c r="E23" s="3">
        <f t="shared" si="1"/>
        <v>30.864035087719298</v>
      </c>
      <c r="F23" s="6">
        <v>38297</v>
      </c>
      <c r="G23" s="5">
        <v>14668</v>
      </c>
      <c r="I23" s="1"/>
    </row>
    <row r="24" spans="1:9" x14ac:dyDescent="0.2">
      <c r="A24" s="1">
        <v>43921</v>
      </c>
      <c r="B24">
        <v>57.66</v>
      </c>
      <c r="C24" s="3">
        <v>0.49</v>
      </c>
      <c r="D24" s="3">
        <f t="shared" si="0"/>
        <v>2.48</v>
      </c>
      <c r="E24" s="3">
        <f t="shared" si="1"/>
        <v>23.25</v>
      </c>
      <c r="F24" s="6">
        <v>41159</v>
      </c>
      <c r="G24" s="5">
        <v>14774</v>
      </c>
      <c r="I24" s="1"/>
    </row>
    <row r="25" spans="1:9" x14ac:dyDescent="0.2">
      <c r="A25" s="1">
        <v>43830</v>
      </c>
      <c r="B25">
        <v>66.47</v>
      </c>
      <c r="C25" s="3">
        <v>0.77</v>
      </c>
      <c r="D25" s="3">
        <f t="shared" si="0"/>
        <v>2.4699999999999998</v>
      </c>
      <c r="E25" s="3">
        <f t="shared" si="1"/>
        <v>26.910931174089072</v>
      </c>
      <c r="F25" s="6">
        <v>46075</v>
      </c>
      <c r="G25" s="5">
        <v>14902</v>
      </c>
      <c r="I25" s="1"/>
    </row>
    <row r="26" spans="1:9" x14ac:dyDescent="0.2">
      <c r="A26" s="1">
        <v>43738</v>
      </c>
      <c r="B26">
        <v>60.6</v>
      </c>
      <c r="C26" s="3">
        <v>0.51</v>
      </c>
      <c r="D26" s="3">
        <f t="shared" si="0"/>
        <v>2.34</v>
      </c>
      <c r="E26" s="3">
        <f t="shared" si="1"/>
        <v>25.897435897435901</v>
      </c>
      <c r="F26" s="6">
        <v>40499</v>
      </c>
      <c r="G26" s="5">
        <v>14894</v>
      </c>
      <c r="I26" s="1"/>
    </row>
    <row r="27" spans="1:9" x14ac:dyDescent="0.2">
      <c r="A27" s="1">
        <v>43646</v>
      </c>
      <c r="B27">
        <v>53.73</v>
      </c>
      <c r="C27" s="3">
        <v>0.71</v>
      </c>
      <c r="D27" s="3">
        <f t="shared" si="0"/>
        <v>2.48</v>
      </c>
      <c r="E27" s="3">
        <f t="shared" si="1"/>
        <v>21.66532258064516</v>
      </c>
      <c r="F27" s="6">
        <v>38944</v>
      </c>
      <c r="G27" s="5">
        <v>14930</v>
      </c>
      <c r="I27" s="1"/>
    </row>
    <row r="28" spans="1:9" x14ac:dyDescent="0.2">
      <c r="A28" s="1">
        <v>43555</v>
      </c>
      <c r="B28">
        <v>58.4</v>
      </c>
      <c r="C28" s="3">
        <v>0.48</v>
      </c>
      <c r="D28" s="3">
        <f t="shared" si="0"/>
        <v>2</v>
      </c>
      <c r="E28" s="3">
        <f t="shared" si="1"/>
        <v>29.2</v>
      </c>
      <c r="F28" s="6">
        <v>36339</v>
      </c>
      <c r="G28" s="5">
        <v>14949</v>
      </c>
      <c r="I28" s="1"/>
    </row>
    <row r="29" spans="1:9" x14ac:dyDescent="0.2">
      <c r="A29" s="1">
        <v>43465</v>
      </c>
      <c r="B29">
        <v>51.86</v>
      </c>
      <c r="C29" s="3">
        <v>0.64</v>
      </c>
      <c r="D29" s="3">
        <f t="shared" si="0"/>
        <v>2.19</v>
      </c>
      <c r="E29" s="3">
        <f t="shared" si="1"/>
        <v>23.680365296803654</v>
      </c>
      <c r="F29" s="6">
        <v>39276</v>
      </c>
      <c r="G29" s="5">
        <v>15003</v>
      </c>
      <c r="I29" s="1"/>
    </row>
    <row r="30" spans="1:9" x14ac:dyDescent="0.2">
      <c r="A30" s="1">
        <v>43373</v>
      </c>
      <c r="B30">
        <v>59.9</v>
      </c>
      <c r="C30" s="3">
        <v>0.65</v>
      </c>
      <c r="D30" s="3">
        <f t="shared" si="0"/>
        <v>1.33</v>
      </c>
      <c r="E30" s="3">
        <f t="shared" si="1"/>
        <v>45.037593984962406</v>
      </c>
      <c r="F30" s="6">
        <v>33740</v>
      </c>
      <c r="G30" s="5">
        <v>15015</v>
      </c>
      <c r="I30" s="1"/>
    </row>
    <row r="31" spans="1:9" x14ac:dyDescent="0.2">
      <c r="A31" s="1">
        <v>43281</v>
      </c>
      <c r="B31">
        <v>56.04</v>
      </c>
      <c r="C31" s="3">
        <v>0.23</v>
      </c>
      <c r="D31" s="3">
        <f t="shared" si="0"/>
        <v>1.1600000000000001</v>
      </c>
      <c r="E31" s="3">
        <f t="shared" si="1"/>
        <v>48.310344827586199</v>
      </c>
      <c r="F31" s="6">
        <v>32657</v>
      </c>
      <c r="G31" s="5">
        <v>15003</v>
      </c>
      <c r="I31" s="1"/>
    </row>
    <row r="32" spans="1:9" x14ac:dyDescent="0.2">
      <c r="A32" s="1">
        <v>43190</v>
      </c>
      <c r="B32">
        <v>51.47</v>
      </c>
      <c r="C32" s="3">
        <v>0.67</v>
      </c>
      <c r="D32" s="3">
        <f t="shared" si="0"/>
        <v>1.1800000000000002</v>
      </c>
      <c r="E32" s="3">
        <f t="shared" si="1"/>
        <v>43.618644067796602</v>
      </c>
      <c r="F32" s="6">
        <v>31146</v>
      </c>
      <c r="G32" s="5">
        <v>15042</v>
      </c>
      <c r="I32" s="1"/>
    </row>
    <row r="33" spans="1:9" x14ac:dyDescent="0.2">
      <c r="A33" s="1">
        <v>43100</v>
      </c>
      <c r="B33">
        <v>52.28</v>
      </c>
      <c r="C33" s="3">
        <v>-0.22</v>
      </c>
      <c r="D33" s="3">
        <f t="shared" si="0"/>
        <v>0.9</v>
      </c>
      <c r="E33" s="3">
        <f t="shared" si="1"/>
        <v>58.088888888888889</v>
      </c>
      <c r="F33" s="6">
        <v>32323</v>
      </c>
      <c r="G33" s="5">
        <v>15015</v>
      </c>
      <c r="I33" s="1"/>
    </row>
    <row r="34" spans="1:9" x14ac:dyDescent="0.2">
      <c r="A34" s="1">
        <v>43008</v>
      </c>
      <c r="B34">
        <v>48.32</v>
      </c>
      <c r="C34" s="3">
        <v>0.48</v>
      </c>
      <c r="D34" s="3">
        <f t="shared" si="0"/>
        <v>1.5</v>
      </c>
      <c r="E34" s="3">
        <f t="shared" si="1"/>
        <v>32.213333333333331</v>
      </c>
      <c r="F34" s="6">
        <v>27772</v>
      </c>
      <c r="G34" s="5">
        <v>15016</v>
      </c>
      <c r="I34" s="1"/>
    </row>
    <row r="35" spans="1:9" x14ac:dyDescent="0.2">
      <c r="A35" s="1">
        <v>42916</v>
      </c>
      <c r="B35">
        <v>46.14</v>
      </c>
      <c r="C35" s="3">
        <v>0.25</v>
      </c>
      <c r="D35" s="3">
        <f t="shared" si="0"/>
        <v>1.38</v>
      </c>
      <c r="E35" s="3">
        <f t="shared" si="1"/>
        <v>33.434782608695656</v>
      </c>
      <c r="F35" s="6">
        <v>26010</v>
      </c>
      <c r="G35" s="5">
        <v>15013</v>
      </c>
      <c r="I35" s="1"/>
    </row>
    <row r="36" spans="1:9" x14ac:dyDescent="0.2">
      <c r="A36" s="1">
        <v>42825</v>
      </c>
      <c r="B36">
        <v>42.07</v>
      </c>
      <c r="C36" s="3">
        <v>0.39</v>
      </c>
      <c r="D36" s="3">
        <f t="shared" si="0"/>
        <v>1.48</v>
      </c>
      <c r="E36" s="3">
        <f t="shared" si="1"/>
        <v>28.425675675675677</v>
      </c>
      <c r="F36" s="6">
        <v>24750</v>
      </c>
      <c r="G36" s="5">
        <v>14987</v>
      </c>
      <c r="I36" s="1"/>
    </row>
    <row r="37" spans="1:9" x14ac:dyDescent="0.2">
      <c r="A37" s="1">
        <v>42735</v>
      </c>
      <c r="B37">
        <v>39.33</v>
      </c>
      <c r="C37" s="3">
        <v>0.38</v>
      </c>
      <c r="D37" s="3">
        <f t="shared" si="0"/>
        <v>1.39</v>
      </c>
      <c r="E37" s="3">
        <f t="shared" si="1"/>
        <v>28.294964028776977</v>
      </c>
      <c r="F37" s="6">
        <v>26064</v>
      </c>
      <c r="G37" s="5">
        <v>14951</v>
      </c>
      <c r="I37" s="1"/>
    </row>
    <row r="38" spans="1:9" x14ac:dyDescent="0.2">
      <c r="A38" s="1">
        <v>42643</v>
      </c>
      <c r="B38">
        <v>39.9</v>
      </c>
      <c r="C38" s="3">
        <v>0.36</v>
      </c>
      <c r="D38" s="3">
        <f t="shared" si="0"/>
        <v>1.38</v>
      </c>
      <c r="E38" s="3">
        <f t="shared" si="1"/>
        <v>28.913043478260871</v>
      </c>
      <c r="F38" s="6">
        <v>22451</v>
      </c>
      <c r="G38" s="5">
        <v>14939</v>
      </c>
      <c r="I38" s="1"/>
    </row>
    <row r="39" spans="1:9" x14ac:dyDescent="0.2">
      <c r="A39" s="1">
        <v>42551</v>
      </c>
      <c r="B39">
        <v>34.909999999999997</v>
      </c>
      <c r="C39" s="3">
        <v>0.35</v>
      </c>
      <c r="D39" s="3">
        <f t="shared" si="0"/>
        <v>1.29</v>
      </c>
      <c r="E39" s="3">
        <f t="shared" si="1"/>
        <v>27.062015503875966</v>
      </c>
      <c r="F39" s="6">
        <v>21500</v>
      </c>
      <c r="G39" s="5">
        <v>14922</v>
      </c>
      <c r="I39" s="1"/>
    </row>
    <row r="40" spans="1:9" x14ac:dyDescent="0.2">
      <c r="A40" s="1">
        <v>42460</v>
      </c>
      <c r="B40">
        <v>37.86</v>
      </c>
      <c r="C40" s="3">
        <v>0.3</v>
      </c>
      <c r="D40" s="3">
        <f t="shared" si="0"/>
        <v>1.19</v>
      </c>
      <c r="E40" s="3">
        <f t="shared" si="1"/>
        <v>31.815126050420169</v>
      </c>
      <c r="F40" s="6">
        <v>20257</v>
      </c>
      <c r="G40" s="5">
        <v>14985</v>
      </c>
      <c r="I40" s="1"/>
    </row>
    <row r="41" spans="1:9" x14ac:dyDescent="0.2">
      <c r="A41" s="1">
        <v>42369</v>
      </c>
      <c r="B41">
        <v>38.61</v>
      </c>
      <c r="C41" s="3">
        <v>0.37</v>
      </c>
      <c r="D41" s="3">
        <f t="shared" si="0"/>
        <v>1.1499999999999999</v>
      </c>
      <c r="E41" s="3">
        <f t="shared" si="1"/>
        <v>33.573913043478264</v>
      </c>
      <c r="F41" s="6">
        <v>21329</v>
      </c>
      <c r="G41" s="5">
        <v>14894</v>
      </c>
      <c r="I41" s="1"/>
    </row>
    <row r="42" spans="1:9" x14ac:dyDescent="0.2">
      <c r="A42" s="1">
        <v>42277</v>
      </c>
      <c r="B42">
        <v>31.68</v>
      </c>
      <c r="C42" s="3">
        <v>0.27</v>
      </c>
      <c r="D42" s="3">
        <f t="shared" si="0"/>
        <v>1.1100000000000001</v>
      </c>
      <c r="E42" s="3">
        <f t="shared" si="1"/>
        <v>28.540540540540537</v>
      </c>
      <c r="F42" s="6">
        <v>18675</v>
      </c>
      <c r="G42" s="5">
        <v>14914</v>
      </c>
      <c r="I42" s="1"/>
    </row>
    <row r="43" spans="1:9" x14ac:dyDescent="0.2">
      <c r="A43" s="1">
        <v>42185</v>
      </c>
      <c r="B43">
        <v>26.8</v>
      </c>
      <c r="C43" s="3">
        <v>0.25</v>
      </c>
      <c r="D43" s="3">
        <f t="shared" si="0"/>
        <v>1.04</v>
      </c>
      <c r="E43" s="3">
        <f t="shared" si="1"/>
        <v>25.76923076923077</v>
      </c>
      <c r="F43" s="6">
        <v>17727</v>
      </c>
      <c r="G43" s="5">
        <v>14860</v>
      </c>
      <c r="I43" s="1"/>
    </row>
    <row r="44" spans="1:9" x14ac:dyDescent="0.2">
      <c r="A44" s="1">
        <v>42094</v>
      </c>
      <c r="B44">
        <v>27.53</v>
      </c>
      <c r="C44" s="3">
        <v>0.26</v>
      </c>
      <c r="D44" s="3">
        <f t="shared" si="0"/>
        <v>1.03</v>
      </c>
      <c r="E44" s="3">
        <f t="shared" si="1"/>
        <v>26.728155339805827</v>
      </c>
      <c r="F44" s="6">
        <v>17258</v>
      </c>
      <c r="G44" s="5">
        <v>14847</v>
      </c>
      <c r="I44" s="1"/>
    </row>
    <row r="45" spans="1:9" x14ac:dyDescent="0.2">
      <c r="A45" s="1">
        <v>42004</v>
      </c>
      <c r="B45">
        <v>26.33</v>
      </c>
      <c r="C45" s="3">
        <v>0.33</v>
      </c>
      <c r="D45" s="3">
        <f t="shared" si="0"/>
        <v>1.02</v>
      </c>
      <c r="E45" s="3">
        <f t="shared" si="1"/>
        <v>25.813725490196077</v>
      </c>
      <c r="F45" s="6">
        <v>18103</v>
      </c>
      <c r="G45" s="5">
        <v>14840</v>
      </c>
      <c r="I45" s="1"/>
    </row>
    <row r="46" spans="1:9" x14ac:dyDescent="0.2">
      <c r="A46" s="1">
        <v>41912</v>
      </c>
      <c r="B46">
        <v>29.2</v>
      </c>
      <c r="C46" s="3">
        <v>0.2</v>
      </c>
      <c r="D46" s="3">
        <f t="shared" si="0"/>
        <v>0.91999999999999993</v>
      </c>
      <c r="E46" s="3">
        <f t="shared" si="1"/>
        <v>31.739130434782609</v>
      </c>
      <c r="F46" s="6">
        <v>16523</v>
      </c>
      <c r="G46" s="5">
        <v>14857</v>
      </c>
      <c r="I46" s="1"/>
    </row>
    <row r="47" spans="1:9" x14ac:dyDescent="0.2">
      <c r="A47" s="1">
        <v>41820</v>
      </c>
      <c r="B47">
        <v>29.01</v>
      </c>
      <c r="C47" s="3">
        <v>0.24</v>
      </c>
      <c r="D47" s="3">
        <f t="shared" si="0"/>
        <v>0.94</v>
      </c>
      <c r="E47" s="3">
        <f t="shared" si="1"/>
        <v>30.861702127659576</v>
      </c>
      <c r="F47" s="6">
        <v>15955</v>
      </c>
      <c r="G47" s="5">
        <v>14833</v>
      </c>
      <c r="I47" s="1"/>
    </row>
    <row r="48" spans="1:9" x14ac:dyDescent="0.2">
      <c r="A48" s="1">
        <v>41729</v>
      </c>
      <c r="B48">
        <v>27.68</v>
      </c>
      <c r="C48" s="3">
        <v>0.25</v>
      </c>
      <c r="D48" s="3">
        <f t="shared" si="0"/>
        <v>0.94</v>
      </c>
      <c r="E48" s="3">
        <f t="shared" si="1"/>
        <v>29.446808510638299</v>
      </c>
      <c r="F48" s="6">
        <v>15420</v>
      </c>
      <c r="G48" s="5">
        <v>13704</v>
      </c>
      <c r="I48" s="1"/>
    </row>
    <row r="49" spans="1:9" x14ac:dyDescent="0.2">
      <c r="A49" s="1">
        <v>41639</v>
      </c>
      <c r="B49">
        <v>27.83</v>
      </c>
      <c r="C49" s="3">
        <v>0.23</v>
      </c>
      <c r="D49" s="3">
        <f t="shared" si="0"/>
        <v>0.94</v>
      </c>
      <c r="E49" s="3">
        <f t="shared" si="1"/>
        <v>29.606382978723403</v>
      </c>
      <c r="F49" s="6">
        <v>15707</v>
      </c>
      <c r="G49" s="5">
        <v>14739</v>
      </c>
      <c r="I49" s="1"/>
    </row>
    <row r="50" spans="1:9" x14ac:dyDescent="0.2">
      <c r="A50" s="1">
        <v>41547</v>
      </c>
      <c r="B50">
        <v>21.75</v>
      </c>
      <c r="C50" s="3">
        <v>0.22</v>
      </c>
      <c r="D50" s="3">
        <f t="shared" si="0"/>
        <v>0.92999999999999994</v>
      </c>
      <c r="E50" s="3">
        <f t="shared" si="1"/>
        <v>23.387096774193552</v>
      </c>
      <c r="F50" s="6">
        <v>13754</v>
      </c>
      <c r="G50" s="5">
        <v>13569</v>
      </c>
      <c r="I50" s="1"/>
    </row>
    <row r="51" spans="1:9" x14ac:dyDescent="0.2">
      <c r="A51" s="1">
        <v>41455</v>
      </c>
      <c r="B51">
        <v>21.87</v>
      </c>
      <c r="C51" s="3">
        <v>0.24</v>
      </c>
      <c r="D51" s="3">
        <f t="shared" si="0"/>
        <v>0.87</v>
      </c>
      <c r="E51" s="3">
        <f t="shared" si="1"/>
        <v>25.137931034482762</v>
      </c>
      <c r="F51" s="6">
        <v>13107</v>
      </c>
      <c r="G51" s="5">
        <v>13533</v>
      </c>
      <c r="I51" s="1"/>
    </row>
    <row r="52" spans="1:9" x14ac:dyDescent="0.2">
      <c r="A52" s="1">
        <v>41364</v>
      </c>
      <c r="B52">
        <v>19.72</v>
      </c>
      <c r="C52" s="3">
        <v>0.25</v>
      </c>
      <c r="D52" s="3">
        <f t="shared" si="0"/>
        <v>0.84</v>
      </c>
      <c r="E52" s="3">
        <f t="shared" si="1"/>
        <v>23.476190476190474</v>
      </c>
      <c r="F52" s="6">
        <v>12951</v>
      </c>
      <c r="G52" s="5">
        <v>13467</v>
      </c>
      <c r="I52" s="1"/>
    </row>
    <row r="53" spans="1:9" x14ac:dyDescent="0.2">
      <c r="A53" s="1">
        <v>41274</v>
      </c>
      <c r="B53">
        <v>17.57</v>
      </c>
      <c r="C53" s="3">
        <v>0.22</v>
      </c>
      <c r="D53" s="3">
        <f t="shared" si="0"/>
        <v>0.80999999999999994</v>
      </c>
      <c r="E53" s="3">
        <f t="shared" si="1"/>
        <v>21.691358024691361</v>
      </c>
      <c r="F53" s="6">
        <v>10283</v>
      </c>
      <c r="G53" s="5">
        <v>13292</v>
      </c>
      <c r="I53" s="1"/>
    </row>
    <row r="54" spans="1:9" x14ac:dyDescent="0.2">
      <c r="A54" s="1">
        <v>41182</v>
      </c>
      <c r="B54">
        <v>18.739999999999998</v>
      </c>
      <c r="C54" s="3">
        <v>0.16</v>
      </c>
      <c r="D54" s="3">
        <f t="shared" si="0"/>
        <v>0.79999999999999993</v>
      </c>
      <c r="E54" s="3">
        <f t="shared" si="1"/>
        <v>23.425000000000001</v>
      </c>
      <c r="F54" s="6">
        <v>13304</v>
      </c>
      <c r="G54" s="5">
        <v>13333</v>
      </c>
      <c r="I54" s="1"/>
    </row>
    <row r="55" spans="1:9" x14ac:dyDescent="0.2">
      <c r="A55" s="1">
        <v>41090</v>
      </c>
      <c r="B55">
        <v>14.41</v>
      </c>
      <c r="C55" s="3">
        <v>0.21</v>
      </c>
      <c r="D55" s="3">
        <f t="shared" si="0"/>
        <v>0.85</v>
      </c>
      <c r="E55" s="3">
        <f t="shared" si="1"/>
        <v>16.952941176470588</v>
      </c>
      <c r="F55" s="6">
        <v>11807</v>
      </c>
      <c r="G55" s="5">
        <v>13232</v>
      </c>
      <c r="I55" s="1"/>
    </row>
    <row r="56" spans="1:9" x14ac:dyDescent="0.2">
      <c r="A56" s="1">
        <v>40999</v>
      </c>
      <c r="B56">
        <v>15.93</v>
      </c>
      <c r="C56" s="3">
        <v>0.22</v>
      </c>
      <c r="D56" s="3">
        <f t="shared" si="0"/>
        <v>0.83000000000000007</v>
      </c>
      <c r="E56" s="3">
        <f t="shared" si="1"/>
        <v>19.192771084337348</v>
      </c>
      <c r="F56" s="6">
        <v>10645</v>
      </c>
      <c r="G56" s="5">
        <v>13205</v>
      </c>
      <c r="I56" s="1"/>
    </row>
    <row r="57" spans="1:9" x14ac:dyDescent="0.2">
      <c r="A57" s="1">
        <v>40908</v>
      </c>
      <c r="B57">
        <v>16.04</v>
      </c>
      <c r="C57" s="3">
        <v>0.21</v>
      </c>
      <c r="D57" s="3">
        <f t="shared" si="0"/>
        <v>0.75</v>
      </c>
      <c r="E57" s="3">
        <f t="shared" si="1"/>
        <v>21.386666666666667</v>
      </c>
      <c r="F57" s="6">
        <v>10584</v>
      </c>
      <c r="G57" s="5">
        <v>13089</v>
      </c>
      <c r="I57" s="1"/>
    </row>
    <row r="58" spans="1:9" x14ac:dyDescent="0.2">
      <c r="A58" s="1">
        <v>40816</v>
      </c>
      <c r="B58">
        <v>12.79</v>
      </c>
      <c r="C58" s="3">
        <v>0.21</v>
      </c>
      <c r="D58" s="3"/>
      <c r="E58" s="3" t="str">
        <f t="shared" si="1"/>
        <v/>
      </c>
      <c r="F58" s="6">
        <v>9720</v>
      </c>
      <c r="G58" s="5">
        <v>13098</v>
      </c>
      <c r="I58" s="1"/>
    </row>
    <row r="59" spans="1:9" x14ac:dyDescent="0.2">
      <c r="A59" s="1">
        <v>40724</v>
      </c>
      <c r="B59">
        <v>12.58</v>
      </c>
      <c r="C59" s="3">
        <v>0.19</v>
      </c>
      <c r="D59" s="3"/>
      <c r="E59" s="3"/>
      <c r="F59" s="6">
        <v>9026</v>
      </c>
      <c r="G59" s="5">
        <v>13041</v>
      </c>
      <c r="I59" s="1"/>
    </row>
    <row r="60" spans="1:9" x14ac:dyDescent="0.2">
      <c r="A60" s="1">
        <v>40633</v>
      </c>
      <c r="B60">
        <v>14.57</v>
      </c>
      <c r="C60" s="3">
        <v>0.14000000000000001</v>
      </c>
      <c r="D60" s="3"/>
      <c r="E60" s="3"/>
      <c r="F60" s="6">
        <v>8575</v>
      </c>
      <c r="G60" s="5">
        <v>13055</v>
      </c>
      <c r="I60" s="1"/>
    </row>
    <row r="61" spans="1:9" x14ac:dyDescent="0.2">
      <c r="A61" s="1"/>
      <c r="C61" s="3"/>
      <c r="D61" s="3"/>
      <c r="E61" s="3"/>
      <c r="F61" s="6"/>
      <c r="I61" s="1"/>
    </row>
    <row r="62" spans="1:9" x14ac:dyDescent="0.2">
      <c r="A62" s="1"/>
      <c r="C62" s="2"/>
    </row>
    <row r="63" spans="1:9" x14ac:dyDescent="0.2">
      <c r="A63" s="1"/>
      <c r="C63" s="2"/>
    </row>
    <row r="64" spans="1:9" x14ac:dyDescent="0.2">
      <c r="A64" s="1"/>
      <c r="C64" s="2"/>
    </row>
    <row r="65" spans="1:3" x14ac:dyDescent="0.2">
      <c r="A65" s="1"/>
      <c r="C65" s="2"/>
    </row>
    <row r="66" spans="1:3" x14ac:dyDescent="0.2">
      <c r="A66" s="1"/>
      <c r="C66" s="2"/>
    </row>
    <row r="67" spans="1:3" x14ac:dyDescent="0.2">
      <c r="A67" s="1"/>
      <c r="C67" s="2"/>
    </row>
    <row r="68" spans="1:3" x14ac:dyDescent="0.2">
      <c r="A68" s="1"/>
      <c r="C68" s="2"/>
    </row>
    <row r="69" spans="1:3" x14ac:dyDescent="0.2">
      <c r="A69" s="1"/>
      <c r="C69" s="2"/>
    </row>
    <row r="70" spans="1:3" x14ac:dyDescent="0.2">
      <c r="A70" s="1"/>
      <c r="C70" s="2"/>
    </row>
    <row r="71" spans="1:3" x14ac:dyDescent="0.2">
      <c r="A71" s="1"/>
      <c r="C71" s="2"/>
    </row>
    <row r="72" spans="1:3" x14ac:dyDescent="0.2">
      <c r="A72" s="1"/>
      <c r="C72" s="2"/>
    </row>
    <row r="73" spans="1:3" x14ac:dyDescent="0.2">
      <c r="A73" s="1"/>
      <c r="C73" s="2"/>
    </row>
    <row r="74" spans="1:3" x14ac:dyDescent="0.2">
      <c r="A74" s="1"/>
      <c r="C74" s="2"/>
    </row>
    <row r="75" spans="1:3" x14ac:dyDescent="0.2">
      <c r="A75" s="1"/>
      <c r="C75" s="2"/>
    </row>
    <row r="76" spans="1:3" x14ac:dyDescent="0.2">
      <c r="A76" s="1"/>
      <c r="C76" s="2"/>
    </row>
    <row r="77" spans="1:3" x14ac:dyDescent="0.2">
      <c r="A77" s="1"/>
      <c r="C77" s="2"/>
    </row>
    <row r="78" spans="1:3" x14ac:dyDescent="0.2">
      <c r="A78" s="1"/>
      <c r="C7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4F88-0CA6-964E-9BD1-BC1A01029482}">
  <dimension ref="A1:H78"/>
  <sheetViews>
    <sheetView showGridLines="0" workbookViewId="0">
      <pane ySplit="1" topLeftCell="A26" activePane="bottomLeft" state="frozen"/>
      <selection pane="bottomLeft" activeCell="A2" sqref="A2:G61"/>
    </sheetView>
  </sheetViews>
  <sheetFormatPr baseColWidth="10" defaultRowHeight="16" x14ac:dyDescent="0.2"/>
  <sheetData>
    <row r="1" spans="1:8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s="7" t="s">
        <v>15</v>
      </c>
    </row>
    <row r="2" spans="1:8" x14ac:dyDescent="0.2">
      <c r="A2" s="1">
        <v>46022</v>
      </c>
      <c r="B2">
        <v>230.82</v>
      </c>
      <c r="C2" s="3">
        <v>1.95</v>
      </c>
      <c r="D2" s="3">
        <f>SUM(C2:C5)</f>
        <v>7.17</v>
      </c>
      <c r="E2" s="3">
        <f>IFERROR(B2/D2,"")</f>
        <v>32.19246861924686</v>
      </c>
      <c r="F2" s="6">
        <v>213386</v>
      </c>
      <c r="G2" s="5">
        <v>10827</v>
      </c>
      <c r="H2" s="1"/>
    </row>
    <row r="3" spans="1:8" x14ac:dyDescent="0.2">
      <c r="A3" s="1">
        <v>45930</v>
      </c>
      <c r="B3">
        <v>219.57</v>
      </c>
      <c r="C3" s="3">
        <v>1.95</v>
      </c>
      <c r="D3" s="3">
        <f t="shared" ref="D3:D58" si="0">SUM(C3:C6)</f>
        <v>7.08</v>
      </c>
      <c r="E3" s="3">
        <f t="shared" ref="E3:E58" si="1">IFERROR(B3/D3,"")</f>
        <v>31.012711864406779</v>
      </c>
      <c r="F3" s="6">
        <v>180169</v>
      </c>
      <c r="G3" s="5">
        <v>10845</v>
      </c>
      <c r="H3" s="1"/>
    </row>
    <row r="4" spans="1:8" x14ac:dyDescent="0.2">
      <c r="A4" s="1">
        <v>45838</v>
      </c>
      <c r="B4">
        <v>219.39</v>
      </c>
      <c r="C4" s="3">
        <v>1.68</v>
      </c>
      <c r="D4" s="3">
        <f t="shared" si="0"/>
        <v>6.56</v>
      </c>
      <c r="E4" s="3">
        <f t="shared" si="1"/>
        <v>33.443597560975611</v>
      </c>
      <c r="F4" s="6">
        <v>167702</v>
      </c>
      <c r="G4" s="5">
        <v>10806</v>
      </c>
      <c r="H4" s="1"/>
    </row>
    <row r="5" spans="1:8" x14ac:dyDescent="0.2">
      <c r="A5" s="1">
        <v>45747</v>
      </c>
      <c r="B5">
        <v>190.26</v>
      </c>
      <c r="C5" s="3">
        <v>1.59</v>
      </c>
      <c r="D5" s="3">
        <f t="shared" si="0"/>
        <v>6.14</v>
      </c>
      <c r="E5" s="3">
        <f t="shared" si="1"/>
        <v>30.98697068403909</v>
      </c>
      <c r="F5" s="6">
        <v>155667</v>
      </c>
      <c r="G5" s="5">
        <v>10793</v>
      </c>
      <c r="H5" s="1"/>
    </row>
    <row r="6" spans="1:8" x14ac:dyDescent="0.2">
      <c r="A6" s="1">
        <v>45657</v>
      </c>
      <c r="B6">
        <v>219.39</v>
      </c>
      <c r="C6" s="3">
        <v>1.86</v>
      </c>
      <c r="D6" s="3">
        <f t="shared" si="0"/>
        <v>5.5299999999999994</v>
      </c>
      <c r="E6" s="3">
        <f t="shared" si="1"/>
        <v>39.672694394213387</v>
      </c>
      <c r="F6" s="6">
        <v>187792</v>
      </c>
      <c r="G6" s="5">
        <v>10721</v>
      </c>
      <c r="H6" s="1"/>
    </row>
    <row r="7" spans="1:8" x14ac:dyDescent="0.2">
      <c r="A7" s="1">
        <v>45565</v>
      </c>
      <c r="B7">
        <v>186.33</v>
      </c>
      <c r="C7" s="3">
        <v>1.43</v>
      </c>
      <c r="D7" s="3">
        <f t="shared" si="0"/>
        <v>4.67</v>
      </c>
      <c r="E7" s="3">
        <f t="shared" si="1"/>
        <v>39.899357601713064</v>
      </c>
      <c r="F7" s="6">
        <v>158877</v>
      </c>
      <c r="G7" s="5">
        <v>10735</v>
      </c>
      <c r="H7" s="1"/>
    </row>
    <row r="8" spans="1:8" x14ac:dyDescent="0.2">
      <c r="A8" s="1">
        <v>45473</v>
      </c>
      <c r="B8">
        <v>193.25</v>
      </c>
      <c r="C8" s="3">
        <v>1.26</v>
      </c>
      <c r="D8" s="3">
        <f t="shared" si="0"/>
        <v>4.18</v>
      </c>
      <c r="E8" s="3">
        <f t="shared" si="1"/>
        <v>46.232057416267949</v>
      </c>
      <c r="F8" s="6">
        <v>147977</v>
      </c>
      <c r="G8" s="5">
        <v>10708</v>
      </c>
      <c r="H8" s="1"/>
    </row>
    <row r="9" spans="1:8" x14ac:dyDescent="0.2">
      <c r="A9" s="1">
        <v>45382</v>
      </c>
      <c r="B9">
        <v>180.38</v>
      </c>
      <c r="C9" s="3">
        <v>0.98</v>
      </c>
      <c r="D9" s="3">
        <f t="shared" si="0"/>
        <v>3.57</v>
      </c>
      <c r="E9" s="3">
        <f t="shared" si="1"/>
        <v>50.526610644257701</v>
      </c>
      <c r="F9" s="6">
        <v>143313</v>
      </c>
      <c r="G9" s="5">
        <v>10670</v>
      </c>
      <c r="H9" s="1"/>
    </row>
    <row r="10" spans="1:8" x14ac:dyDescent="0.2">
      <c r="A10" s="1">
        <v>45291</v>
      </c>
      <c r="B10">
        <v>151.94</v>
      </c>
      <c r="C10" s="3">
        <v>1</v>
      </c>
      <c r="D10" s="3">
        <f t="shared" si="0"/>
        <v>2.9</v>
      </c>
      <c r="E10" s="3">
        <f t="shared" si="1"/>
        <v>52.393103448275866</v>
      </c>
      <c r="F10" s="6">
        <v>169961</v>
      </c>
      <c r="G10" s="5">
        <v>10492</v>
      </c>
      <c r="H10" s="1"/>
    </row>
    <row r="11" spans="1:8" x14ac:dyDescent="0.2">
      <c r="A11" s="1">
        <v>45199</v>
      </c>
      <c r="B11">
        <v>127.12</v>
      </c>
      <c r="C11" s="3">
        <v>0.94</v>
      </c>
      <c r="D11" s="3">
        <f t="shared" si="0"/>
        <v>1.93</v>
      </c>
      <c r="E11" s="3">
        <f t="shared" si="1"/>
        <v>65.865284974093271</v>
      </c>
      <c r="F11" s="6">
        <v>143083</v>
      </c>
      <c r="G11" s="5">
        <v>10558</v>
      </c>
      <c r="H11" s="1"/>
    </row>
    <row r="12" spans="1:8" x14ac:dyDescent="0.2">
      <c r="A12" s="1">
        <v>45107</v>
      </c>
      <c r="B12">
        <v>130.36000000000001</v>
      </c>
      <c r="C12" s="3">
        <v>0.65</v>
      </c>
      <c r="D12" s="3">
        <f t="shared" si="0"/>
        <v>1.27</v>
      </c>
      <c r="E12" s="3">
        <f t="shared" si="1"/>
        <v>102.64566929133859</v>
      </c>
      <c r="F12" s="6">
        <v>134383</v>
      </c>
      <c r="G12" s="5">
        <v>10449</v>
      </c>
      <c r="H12" s="1"/>
    </row>
    <row r="13" spans="1:8" x14ac:dyDescent="0.2">
      <c r="A13" s="1">
        <v>45016</v>
      </c>
      <c r="B13">
        <v>103.29</v>
      </c>
      <c r="C13" s="3">
        <v>0.31</v>
      </c>
      <c r="D13" s="3">
        <f t="shared" si="0"/>
        <v>0.42</v>
      </c>
      <c r="E13" s="3">
        <f t="shared" si="1"/>
        <v>245.92857142857144</v>
      </c>
      <c r="F13" s="6">
        <v>127358</v>
      </c>
      <c r="G13" s="5">
        <v>10347</v>
      </c>
      <c r="H13" s="1"/>
    </row>
    <row r="14" spans="1:8" x14ac:dyDescent="0.2">
      <c r="A14" s="1">
        <v>44926</v>
      </c>
      <c r="B14">
        <v>84</v>
      </c>
      <c r="C14" s="3">
        <v>0.03</v>
      </c>
      <c r="D14" s="3">
        <f t="shared" si="0"/>
        <v>-0.26999999999999996</v>
      </c>
      <c r="E14" s="3">
        <f t="shared" si="1"/>
        <v>-311.11111111111114</v>
      </c>
      <c r="F14" s="6">
        <v>149204</v>
      </c>
      <c r="G14" s="5">
        <v>10189</v>
      </c>
      <c r="H14" s="1"/>
    </row>
    <row r="15" spans="1:8" x14ac:dyDescent="0.2">
      <c r="A15" s="1">
        <v>44834</v>
      </c>
      <c r="B15">
        <v>113</v>
      </c>
      <c r="C15" s="3">
        <v>0.28000000000000003</v>
      </c>
      <c r="D15" s="3">
        <f t="shared" si="0"/>
        <v>1.0799999999999998</v>
      </c>
      <c r="E15" s="3">
        <f t="shared" si="1"/>
        <v>104.62962962962965</v>
      </c>
      <c r="F15" s="6">
        <v>127101</v>
      </c>
      <c r="G15" s="5">
        <v>10331</v>
      </c>
      <c r="H15" s="1"/>
    </row>
    <row r="16" spans="1:8" x14ac:dyDescent="0.2">
      <c r="A16" s="1">
        <v>44742</v>
      </c>
      <c r="B16">
        <v>106.21</v>
      </c>
      <c r="C16" s="3">
        <v>-0.2</v>
      </c>
      <c r="D16" s="3">
        <f t="shared" si="0"/>
        <v>1.1099999999999999</v>
      </c>
      <c r="E16" s="3">
        <f t="shared" si="1"/>
        <v>95.684684684684683</v>
      </c>
      <c r="F16" s="6">
        <v>121234</v>
      </c>
      <c r="G16" s="5">
        <v>10175</v>
      </c>
      <c r="H16" s="1"/>
    </row>
    <row r="17" spans="1:8" x14ac:dyDescent="0.2">
      <c r="A17" s="1">
        <v>44651</v>
      </c>
      <c r="B17">
        <v>163</v>
      </c>
      <c r="C17" s="3">
        <v>-0.38</v>
      </c>
      <c r="D17" s="3">
        <f t="shared" si="0"/>
        <v>2.0699999999999998</v>
      </c>
      <c r="E17" s="3">
        <f t="shared" si="1"/>
        <v>78.74396135265701</v>
      </c>
      <c r="F17" s="6">
        <v>116444</v>
      </c>
      <c r="G17" s="5">
        <v>10171</v>
      </c>
      <c r="H17" s="1"/>
    </row>
    <row r="18" spans="1:8" x14ac:dyDescent="0.2">
      <c r="A18" s="1">
        <v>44561</v>
      </c>
      <c r="B18">
        <v>166.72</v>
      </c>
      <c r="C18" s="3">
        <v>1.38</v>
      </c>
      <c r="D18" s="3">
        <f t="shared" si="0"/>
        <v>3.24</v>
      </c>
      <c r="E18" s="3">
        <f t="shared" si="1"/>
        <v>51.456790123456784</v>
      </c>
      <c r="F18" s="6">
        <v>137412</v>
      </c>
      <c r="G18" s="5">
        <v>10296</v>
      </c>
      <c r="H18" s="1"/>
    </row>
    <row r="19" spans="1:8" x14ac:dyDescent="0.2">
      <c r="A19" s="1">
        <v>44469</v>
      </c>
      <c r="B19">
        <v>164.25</v>
      </c>
      <c r="C19" s="3">
        <v>0.31</v>
      </c>
      <c r="D19" s="3">
        <f t="shared" si="0"/>
        <v>2.5700000000000003</v>
      </c>
      <c r="E19" s="3">
        <f t="shared" si="1"/>
        <v>63.910505836575865</v>
      </c>
      <c r="F19" s="6">
        <v>110812</v>
      </c>
      <c r="G19" s="5">
        <v>10309</v>
      </c>
      <c r="H19" s="1"/>
    </row>
    <row r="20" spans="1:8" x14ac:dyDescent="0.2">
      <c r="A20" s="1">
        <v>44377</v>
      </c>
      <c r="B20">
        <v>172.01</v>
      </c>
      <c r="C20" s="3">
        <v>0.76</v>
      </c>
      <c r="D20" s="3">
        <f t="shared" si="0"/>
        <v>2.88</v>
      </c>
      <c r="E20" s="3">
        <f t="shared" si="1"/>
        <v>59.725694444444443</v>
      </c>
      <c r="F20" s="6">
        <v>113080</v>
      </c>
      <c r="G20" s="5">
        <v>10286</v>
      </c>
      <c r="H20" s="1"/>
    </row>
    <row r="21" spans="1:8" x14ac:dyDescent="0.2">
      <c r="A21" s="1">
        <v>44286</v>
      </c>
      <c r="B21">
        <v>154.69999999999999</v>
      </c>
      <c r="C21" s="3">
        <v>0.79</v>
      </c>
      <c r="D21" s="3">
        <f t="shared" si="0"/>
        <v>2.64</v>
      </c>
      <c r="E21" s="3">
        <f t="shared" si="1"/>
        <v>58.598484848484844</v>
      </c>
      <c r="F21" s="6">
        <v>108518</v>
      </c>
      <c r="G21" s="5">
        <v>10260</v>
      </c>
      <c r="H21" s="1"/>
    </row>
    <row r="22" spans="1:8" x14ac:dyDescent="0.2">
      <c r="A22" s="1">
        <v>44196</v>
      </c>
      <c r="B22">
        <v>162.85</v>
      </c>
      <c r="C22" s="3">
        <v>0.71</v>
      </c>
      <c r="D22" s="3">
        <f t="shared" si="0"/>
        <v>2.1</v>
      </c>
      <c r="E22" s="3">
        <f t="shared" si="1"/>
        <v>77.547619047619037</v>
      </c>
      <c r="F22" s="6">
        <v>125555</v>
      </c>
      <c r="G22" s="5">
        <v>10198</v>
      </c>
      <c r="H22" s="1"/>
    </row>
    <row r="23" spans="1:8" x14ac:dyDescent="0.2">
      <c r="A23" s="1">
        <v>44104</v>
      </c>
      <c r="B23">
        <v>157.44</v>
      </c>
      <c r="C23" s="3">
        <v>0.62</v>
      </c>
      <c r="D23" s="3">
        <f t="shared" si="0"/>
        <v>1.7100000000000002</v>
      </c>
      <c r="E23" s="3">
        <f t="shared" si="1"/>
        <v>92.070175438596479</v>
      </c>
      <c r="F23" s="6">
        <v>96145</v>
      </c>
      <c r="G23" s="5">
        <v>10240</v>
      </c>
      <c r="H23" s="1"/>
    </row>
    <row r="24" spans="1:8" x14ac:dyDescent="0.2">
      <c r="A24" s="1">
        <v>44012</v>
      </c>
      <c r="B24">
        <v>137.94</v>
      </c>
      <c r="C24" s="3">
        <v>0.52</v>
      </c>
      <c r="D24" s="3">
        <f t="shared" si="0"/>
        <v>1.3</v>
      </c>
      <c r="E24" s="3">
        <f t="shared" si="1"/>
        <v>106.1076923076923</v>
      </c>
      <c r="F24" s="6">
        <v>88912</v>
      </c>
      <c r="G24" s="5">
        <v>10180</v>
      </c>
      <c r="H24" s="1"/>
    </row>
    <row r="25" spans="1:8" x14ac:dyDescent="0.2">
      <c r="A25" s="1">
        <v>43921</v>
      </c>
      <c r="B25">
        <v>97.49</v>
      </c>
      <c r="C25" s="3">
        <v>0.25</v>
      </c>
      <c r="D25" s="3">
        <f t="shared" si="0"/>
        <v>1.04</v>
      </c>
      <c r="E25" s="3">
        <f t="shared" si="1"/>
        <v>93.740384615384613</v>
      </c>
      <c r="F25" s="6">
        <v>75452</v>
      </c>
      <c r="G25" s="5">
        <v>10120</v>
      </c>
      <c r="H25" s="1"/>
    </row>
    <row r="26" spans="1:8" x14ac:dyDescent="0.2">
      <c r="A26" s="1">
        <v>43830</v>
      </c>
      <c r="B26">
        <v>92.39</v>
      </c>
      <c r="C26" s="3">
        <v>0.32</v>
      </c>
      <c r="D26" s="3">
        <f t="shared" si="0"/>
        <v>1.1499999999999999</v>
      </c>
      <c r="E26" s="3">
        <f t="shared" si="1"/>
        <v>80.339130434782618</v>
      </c>
      <c r="F26" s="6">
        <v>87437</v>
      </c>
      <c r="G26" s="5">
        <v>10080</v>
      </c>
      <c r="H26" s="1"/>
    </row>
    <row r="27" spans="1:8" x14ac:dyDescent="0.2">
      <c r="A27" s="1">
        <v>43738</v>
      </c>
      <c r="B27">
        <v>86.8</v>
      </c>
      <c r="C27" s="3">
        <v>0.21</v>
      </c>
      <c r="D27" s="3">
        <f t="shared" si="0"/>
        <v>1.1299999999999999</v>
      </c>
      <c r="E27" s="3">
        <f t="shared" si="1"/>
        <v>76.814159292035399</v>
      </c>
      <c r="F27" s="6">
        <v>69981</v>
      </c>
      <c r="G27" s="5">
        <v>10080</v>
      </c>
      <c r="H27" s="1"/>
    </row>
    <row r="28" spans="1:8" x14ac:dyDescent="0.2">
      <c r="A28" s="1">
        <v>43646</v>
      </c>
      <c r="B28">
        <v>94.68</v>
      </c>
      <c r="C28" s="3">
        <v>0.26</v>
      </c>
      <c r="D28" s="3">
        <f t="shared" si="0"/>
        <v>1.21</v>
      </c>
      <c r="E28" s="3">
        <f t="shared" si="1"/>
        <v>78.247933884297524</v>
      </c>
      <c r="F28" s="6">
        <v>63404</v>
      </c>
      <c r="G28" s="5">
        <v>10060</v>
      </c>
      <c r="H28" s="1"/>
    </row>
    <row r="29" spans="1:8" x14ac:dyDescent="0.2">
      <c r="A29" s="1">
        <v>43555</v>
      </c>
      <c r="B29">
        <v>89.04</v>
      </c>
      <c r="C29" s="3">
        <v>0.36</v>
      </c>
      <c r="D29" s="3">
        <f t="shared" si="0"/>
        <v>1.2</v>
      </c>
      <c r="E29" s="3">
        <f t="shared" si="1"/>
        <v>74.2</v>
      </c>
      <c r="F29" s="6">
        <v>59700</v>
      </c>
      <c r="G29" s="5">
        <v>10040</v>
      </c>
      <c r="H29" s="1"/>
    </row>
    <row r="30" spans="1:8" x14ac:dyDescent="0.2">
      <c r="A30" s="1">
        <v>43465</v>
      </c>
      <c r="B30">
        <v>75.099999999999994</v>
      </c>
      <c r="C30" s="3">
        <v>0.3</v>
      </c>
      <c r="D30" s="3">
        <f t="shared" si="0"/>
        <v>1</v>
      </c>
      <c r="E30" s="3">
        <f t="shared" si="1"/>
        <v>75.099999999999994</v>
      </c>
      <c r="F30" s="6">
        <v>72383</v>
      </c>
      <c r="G30" s="5">
        <v>10000</v>
      </c>
      <c r="H30" s="1"/>
    </row>
    <row r="31" spans="1:8" x14ac:dyDescent="0.2">
      <c r="A31" s="1">
        <v>43373</v>
      </c>
      <c r="B31">
        <v>100.15</v>
      </c>
      <c r="C31" s="3">
        <v>0.28999999999999998</v>
      </c>
      <c r="D31" s="3">
        <f t="shared" si="0"/>
        <v>0.89000000000000012</v>
      </c>
      <c r="E31" s="3">
        <f t="shared" si="1"/>
        <v>112.52808988764043</v>
      </c>
      <c r="F31" s="6">
        <v>56576</v>
      </c>
      <c r="G31" s="5">
        <v>10020</v>
      </c>
      <c r="H31" s="1"/>
    </row>
    <row r="32" spans="1:8" x14ac:dyDescent="0.2">
      <c r="A32" s="1">
        <v>43281</v>
      </c>
      <c r="B32">
        <v>84.99</v>
      </c>
      <c r="C32" s="3">
        <v>0.25</v>
      </c>
      <c r="D32" s="3">
        <f t="shared" si="0"/>
        <v>0.63000000000000012</v>
      </c>
      <c r="E32" s="3">
        <f t="shared" si="1"/>
        <v>134.90476190476187</v>
      </c>
      <c r="F32" s="6">
        <v>52886</v>
      </c>
      <c r="G32" s="5">
        <v>10000</v>
      </c>
      <c r="H32" s="1"/>
    </row>
    <row r="33" spans="1:8" x14ac:dyDescent="0.2">
      <c r="A33" s="1">
        <v>43190</v>
      </c>
      <c r="B33">
        <v>72.37</v>
      </c>
      <c r="C33" s="3">
        <v>0.16</v>
      </c>
      <c r="D33" s="3">
        <f t="shared" si="0"/>
        <v>0.4</v>
      </c>
      <c r="E33" s="3">
        <f t="shared" si="1"/>
        <v>180.92500000000001</v>
      </c>
      <c r="F33" s="6">
        <v>51042</v>
      </c>
      <c r="G33" s="5">
        <v>9960</v>
      </c>
      <c r="H33" s="1"/>
    </row>
    <row r="34" spans="1:8" x14ac:dyDescent="0.2">
      <c r="A34" s="1">
        <v>43100</v>
      </c>
      <c r="B34">
        <v>58.47</v>
      </c>
      <c r="C34" s="3">
        <v>0.19</v>
      </c>
      <c r="D34" s="3">
        <f t="shared" si="0"/>
        <v>0.31</v>
      </c>
      <c r="E34" s="3">
        <f t="shared" si="1"/>
        <v>188.61290322580646</v>
      </c>
      <c r="F34" s="6">
        <v>60453</v>
      </c>
      <c r="G34" s="5">
        <v>9860</v>
      </c>
      <c r="H34" s="1"/>
    </row>
    <row r="35" spans="1:8" x14ac:dyDescent="0.2">
      <c r="A35" s="1">
        <v>43008</v>
      </c>
      <c r="B35">
        <v>48.07</v>
      </c>
      <c r="C35" s="3">
        <v>0.03</v>
      </c>
      <c r="D35" s="3">
        <f t="shared" si="0"/>
        <v>0.2</v>
      </c>
      <c r="E35" s="3">
        <f t="shared" si="1"/>
        <v>240.35</v>
      </c>
      <c r="F35" s="6">
        <v>43744</v>
      </c>
      <c r="G35" s="5">
        <v>9880</v>
      </c>
      <c r="H35" s="1"/>
    </row>
    <row r="36" spans="1:8" x14ac:dyDescent="0.2">
      <c r="A36" s="1">
        <v>42916</v>
      </c>
      <c r="B36">
        <v>48.4</v>
      </c>
      <c r="C36" s="3">
        <v>0.02</v>
      </c>
      <c r="D36" s="3">
        <f t="shared" si="0"/>
        <v>0.2</v>
      </c>
      <c r="E36" s="3">
        <f t="shared" si="1"/>
        <v>241.99999999999997</v>
      </c>
      <c r="F36" s="6">
        <v>37955</v>
      </c>
      <c r="G36" s="5">
        <v>9840</v>
      </c>
      <c r="H36" s="1"/>
    </row>
    <row r="37" spans="1:8" x14ac:dyDescent="0.2">
      <c r="A37" s="1">
        <v>42825</v>
      </c>
      <c r="B37">
        <v>44.33</v>
      </c>
      <c r="C37" s="3">
        <v>7.0000000000000007E-2</v>
      </c>
      <c r="D37" s="3">
        <f t="shared" si="0"/>
        <v>0.27</v>
      </c>
      <c r="E37" s="3">
        <f t="shared" si="1"/>
        <v>164.18518518518516</v>
      </c>
      <c r="F37" s="6">
        <v>35714</v>
      </c>
      <c r="G37" s="5">
        <v>9800</v>
      </c>
      <c r="H37" s="1"/>
    </row>
    <row r="38" spans="1:8" x14ac:dyDescent="0.2">
      <c r="A38" s="1">
        <v>42735</v>
      </c>
      <c r="B38">
        <v>37.49</v>
      </c>
      <c r="C38" s="3">
        <v>0.08</v>
      </c>
      <c r="D38" s="3">
        <f t="shared" si="0"/>
        <v>0.25</v>
      </c>
      <c r="E38" s="3">
        <f t="shared" si="1"/>
        <v>149.96</v>
      </c>
      <c r="F38" s="6">
        <v>43741</v>
      </c>
      <c r="G38" s="5">
        <v>9680</v>
      </c>
      <c r="H38" s="1"/>
    </row>
    <row r="39" spans="1:8" x14ac:dyDescent="0.2">
      <c r="A39" s="1">
        <v>42643</v>
      </c>
      <c r="B39">
        <v>41.87</v>
      </c>
      <c r="C39" s="3">
        <v>0.03</v>
      </c>
      <c r="D39" s="3">
        <f t="shared" si="0"/>
        <v>0.21999999999999997</v>
      </c>
      <c r="E39" s="3">
        <f t="shared" si="1"/>
        <v>190.31818181818184</v>
      </c>
      <c r="F39" s="6">
        <v>32714</v>
      </c>
      <c r="G39" s="5">
        <v>9700</v>
      </c>
      <c r="H39" s="1"/>
    </row>
    <row r="40" spans="1:8" x14ac:dyDescent="0.2">
      <c r="A40" s="1">
        <v>42551</v>
      </c>
      <c r="B40">
        <v>35.78</v>
      </c>
      <c r="C40" s="3">
        <v>0.09</v>
      </c>
      <c r="D40" s="3">
        <f t="shared" si="0"/>
        <v>0.2</v>
      </c>
      <c r="E40" s="3">
        <f t="shared" si="1"/>
        <v>178.9</v>
      </c>
      <c r="F40" s="6">
        <v>30404</v>
      </c>
      <c r="G40" s="5">
        <v>9660</v>
      </c>
      <c r="H40" s="1"/>
    </row>
    <row r="41" spans="1:8" x14ac:dyDescent="0.2">
      <c r="A41" s="1">
        <v>42460</v>
      </c>
      <c r="B41">
        <v>29.68</v>
      </c>
      <c r="C41" s="3">
        <v>0.05</v>
      </c>
      <c r="D41" s="3">
        <f t="shared" si="0"/>
        <v>0.12</v>
      </c>
      <c r="E41" s="3">
        <f t="shared" si="1"/>
        <v>247.33333333333334</v>
      </c>
      <c r="F41" s="6">
        <v>29128</v>
      </c>
      <c r="G41" s="5">
        <v>9620</v>
      </c>
      <c r="H41" s="1"/>
    </row>
    <row r="42" spans="1:8" x14ac:dyDescent="0.2">
      <c r="A42" s="1">
        <v>42369</v>
      </c>
      <c r="B42">
        <v>33.79</v>
      </c>
      <c r="C42" s="3">
        <v>0.05</v>
      </c>
      <c r="D42" s="3">
        <f t="shared" si="0"/>
        <v>6.0000000000000005E-2</v>
      </c>
      <c r="E42" s="3">
        <f t="shared" si="1"/>
        <v>563.16666666666663</v>
      </c>
      <c r="F42" s="6">
        <v>35746</v>
      </c>
      <c r="G42" s="5">
        <v>9540</v>
      </c>
      <c r="H42" s="1"/>
    </row>
    <row r="43" spans="1:8" x14ac:dyDescent="0.2">
      <c r="A43" s="1">
        <v>42277</v>
      </c>
      <c r="B43">
        <v>25.59</v>
      </c>
      <c r="C43" s="3">
        <v>0.01</v>
      </c>
      <c r="D43" s="3">
        <f t="shared" si="0"/>
        <v>0.03</v>
      </c>
      <c r="E43" s="3">
        <f t="shared" si="1"/>
        <v>853</v>
      </c>
      <c r="F43" s="6">
        <v>25358</v>
      </c>
      <c r="G43" s="5">
        <v>9560</v>
      </c>
      <c r="H43" s="1"/>
    </row>
    <row r="44" spans="1:8" x14ac:dyDescent="0.2">
      <c r="A44" s="1">
        <v>42185</v>
      </c>
      <c r="B44">
        <v>21.7</v>
      </c>
      <c r="C44" s="3">
        <v>0.01</v>
      </c>
      <c r="D44" s="3">
        <f t="shared" si="0"/>
        <v>-3.0000000000000002E-2</v>
      </c>
      <c r="E44" s="3">
        <f t="shared" si="1"/>
        <v>-723.33333333333326</v>
      </c>
      <c r="F44" s="6">
        <v>23185</v>
      </c>
      <c r="G44" s="5">
        <v>9520</v>
      </c>
      <c r="H44" s="1"/>
    </row>
    <row r="45" spans="1:8" x14ac:dyDescent="0.2">
      <c r="A45" s="1">
        <v>42094</v>
      </c>
      <c r="B45">
        <v>18.61</v>
      </c>
      <c r="C45" s="3">
        <v>-0.01</v>
      </c>
      <c r="D45" s="3">
        <f t="shared" si="0"/>
        <v>-0.05</v>
      </c>
      <c r="E45" s="3">
        <f t="shared" si="1"/>
        <v>-372.2</v>
      </c>
      <c r="F45" s="6">
        <v>22717</v>
      </c>
      <c r="G45" s="5">
        <v>9300</v>
      </c>
      <c r="H45" s="1"/>
    </row>
    <row r="46" spans="1:8" x14ac:dyDescent="0.2">
      <c r="A46" s="1">
        <v>42004</v>
      </c>
      <c r="B46">
        <v>15.52</v>
      </c>
      <c r="C46" s="3">
        <v>0.02</v>
      </c>
      <c r="D46" s="3">
        <f t="shared" si="0"/>
        <v>-0.03</v>
      </c>
      <c r="E46" s="3">
        <f t="shared" si="1"/>
        <v>-517.33333333333337</v>
      </c>
      <c r="F46" s="6">
        <v>29328</v>
      </c>
      <c r="G46" s="5">
        <v>9240</v>
      </c>
      <c r="H46" s="1"/>
    </row>
    <row r="47" spans="1:8" x14ac:dyDescent="0.2">
      <c r="A47" s="1">
        <v>41912</v>
      </c>
      <c r="B47">
        <v>16.12</v>
      </c>
      <c r="C47" s="3">
        <v>-0.05</v>
      </c>
      <c r="D47" s="3">
        <f t="shared" si="0"/>
        <v>-2.0000000000000004E-2</v>
      </c>
      <c r="E47" s="3">
        <f t="shared" si="1"/>
        <v>-805.99999999999989</v>
      </c>
      <c r="F47" s="6">
        <v>20579</v>
      </c>
      <c r="G47" s="5">
        <v>9260</v>
      </c>
      <c r="H47" s="1"/>
    </row>
    <row r="48" spans="1:8" x14ac:dyDescent="0.2">
      <c r="A48" s="1">
        <v>41820</v>
      </c>
      <c r="B48">
        <v>16.239999999999998</v>
      </c>
      <c r="C48" s="3">
        <v>-0.01</v>
      </c>
      <c r="D48" s="3">
        <f t="shared" si="0"/>
        <v>1.9999999999999997E-2</v>
      </c>
      <c r="E48" s="3">
        <f t="shared" si="1"/>
        <v>812</v>
      </c>
      <c r="F48" s="6">
        <v>19340</v>
      </c>
      <c r="G48" s="5">
        <v>9220</v>
      </c>
      <c r="H48" s="1"/>
    </row>
    <row r="49" spans="1:8" x14ac:dyDescent="0.2">
      <c r="A49" s="1">
        <v>41729</v>
      </c>
      <c r="B49">
        <v>16.82</v>
      </c>
      <c r="C49" s="3">
        <v>0.01</v>
      </c>
      <c r="D49" s="3">
        <f t="shared" si="0"/>
        <v>0.03</v>
      </c>
      <c r="E49" s="3">
        <f t="shared" si="1"/>
        <v>560.66666666666674</v>
      </c>
      <c r="F49" s="6">
        <v>19741</v>
      </c>
      <c r="G49" s="5">
        <v>9360</v>
      </c>
      <c r="H49" s="1"/>
    </row>
    <row r="50" spans="1:8" x14ac:dyDescent="0.2">
      <c r="A50" s="1">
        <v>41639</v>
      </c>
      <c r="B50">
        <v>19.940000000000001</v>
      </c>
      <c r="C50" s="3">
        <v>0.03</v>
      </c>
      <c r="D50" s="3">
        <f t="shared" si="0"/>
        <v>0.03</v>
      </c>
      <c r="E50" s="3">
        <f t="shared" si="1"/>
        <v>664.66666666666674</v>
      </c>
      <c r="F50" s="6">
        <v>25586</v>
      </c>
      <c r="G50" s="5">
        <v>9300</v>
      </c>
      <c r="H50" s="1"/>
    </row>
    <row r="51" spans="1:8" x14ac:dyDescent="0.2">
      <c r="A51" s="1">
        <v>41547</v>
      </c>
      <c r="B51">
        <v>15.63</v>
      </c>
      <c r="C51" s="3">
        <v>-0.01</v>
      </c>
      <c r="D51" s="3">
        <f t="shared" si="0"/>
        <v>0.01</v>
      </c>
      <c r="E51" s="3">
        <f t="shared" si="1"/>
        <v>1563</v>
      </c>
      <c r="F51" s="6">
        <v>17092</v>
      </c>
      <c r="G51" s="5">
        <v>9140</v>
      </c>
      <c r="H51" s="1"/>
    </row>
    <row r="52" spans="1:8" x14ac:dyDescent="0.2">
      <c r="A52" s="1">
        <v>41455</v>
      </c>
      <c r="B52">
        <v>13.88</v>
      </c>
      <c r="C52" s="3">
        <v>0</v>
      </c>
      <c r="D52" s="3">
        <f t="shared" si="0"/>
        <v>-9.9999999999999985E-3</v>
      </c>
      <c r="E52" s="3">
        <f t="shared" si="1"/>
        <v>-1388.0000000000002</v>
      </c>
      <c r="F52" s="6">
        <v>15704</v>
      </c>
      <c r="G52" s="5">
        <v>9120</v>
      </c>
      <c r="H52" s="1"/>
    </row>
    <row r="53" spans="1:8" x14ac:dyDescent="0.2">
      <c r="A53" s="1">
        <v>41364</v>
      </c>
      <c r="B53">
        <v>13.32</v>
      </c>
      <c r="C53" s="3">
        <v>0.01</v>
      </c>
      <c r="D53" s="3">
        <f t="shared" si="0"/>
        <v>-9.9999999999999985E-3</v>
      </c>
      <c r="E53" s="3">
        <f t="shared" si="1"/>
        <v>-1332.0000000000002</v>
      </c>
      <c r="F53" s="6">
        <v>16070</v>
      </c>
      <c r="G53" s="5">
        <v>9260</v>
      </c>
      <c r="H53" s="1"/>
    </row>
    <row r="54" spans="1:8" x14ac:dyDescent="0.2">
      <c r="A54" s="1">
        <v>41274</v>
      </c>
      <c r="B54">
        <v>12.54</v>
      </c>
      <c r="C54" s="3">
        <v>0.01</v>
      </c>
      <c r="D54" s="3">
        <f t="shared" si="0"/>
        <v>-9.9999999999999967E-3</v>
      </c>
      <c r="E54" s="3">
        <f t="shared" si="1"/>
        <v>-1254.0000000000002</v>
      </c>
      <c r="F54" s="6">
        <v>21268</v>
      </c>
      <c r="G54" s="5">
        <v>9060</v>
      </c>
      <c r="H54" s="1"/>
    </row>
    <row r="55" spans="1:8" x14ac:dyDescent="0.2">
      <c r="A55" s="1">
        <v>41182</v>
      </c>
      <c r="B55">
        <v>12.72</v>
      </c>
      <c r="C55" s="3">
        <v>-0.03</v>
      </c>
      <c r="D55" s="3">
        <f t="shared" si="0"/>
        <v>0</v>
      </c>
      <c r="E55" s="3" t="str">
        <f t="shared" si="1"/>
        <v/>
      </c>
      <c r="F55" s="6">
        <v>13806</v>
      </c>
      <c r="G55" s="5">
        <v>9040</v>
      </c>
      <c r="H55" s="1"/>
    </row>
    <row r="56" spans="1:8" x14ac:dyDescent="0.2">
      <c r="A56" s="1">
        <v>41090</v>
      </c>
      <c r="B56">
        <v>11.42</v>
      </c>
      <c r="C56" s="3">
        <v>0</v>
      </c>
      <c r="D56" s="3">
        <f t="shared" si="0"/>
        <v>0.04</v>
      </c>
      <c r="E56" s="3">
        <f t="shared" si="1"/>
        <v>285.5</v>
      </c>
      <c r="F56" s="6">
        <v>12834</v>
      </c>
      <c r="G56" s="5">
        <v>9160</v>
      </c>
      <c r="H56" s="1"/>
    </row>
    <row r="57" spans="1:8" x14ac:dyDescent="0.2">
      <c r="A57" s="1">
        <v>40999</v>
      </c>
      <c r="B57">
        <v>10.130000000000001</v>
      </c>
      <c r="C57" s="3">
        <v>0.01</v>
      </c>
      <c r="D57" s="3">
        <f t="shared" si="0"/>
        <v>0.06</v>
      </c>
      <c r="E57" s="3">
        <f t="shared" si="1"/>
        <v>168.83333333333334</v>
      </c>
      <c r="F57" s="6">
        <v>13185</v>
      </c>
      <c r="G57" s="5">
        <v>9200</v>
      </c>
      <c r="H57" s="1"/>
    </row>
    <row r="58" spans="1:8" x14ac:dyDescent="0.2">
      <c r="A58" s="1">
        <v>40908</v>
      </c>
      <c r="B58">
        <v>8.66</v>
      </c>
      <c r="C58" s="3">
        <v>0.02</v>
      </c>
      <c r="D58" s="3">
        <f t="shared" si="0"/>
        <v>7.0000000000000007E-2</v>
      </c>
      <c r="E58" s="3">
        <f t="shared" si="1"/>
        <v>123.71428571428571</v>
      </c>
      <c r="F58" s="6">
        <v>17431</v>
      </c>
      <c r="G58" s="5">
        <v>9220</v>
      </c>
      <c r="H58" s="1"/>
    </row>
    <row r="59" spans="1:8" x14ac:dyDescent="0.2">
      <c r="A59" s="1">
        <v>40816</v>
      </c>
      <c r="B59">
        <v>10.81</v>
      </c>
      <c r="C59" s="3">
        <v>0.01</v>
      </c>
      <c r="D59" s="3"/>
      <c r="E59" s="3"/>
      <c r="F59" s="6">
        <v>10876</v>
      </c>
      <c r="G59" s="5">
        <v>9220</v>
      </c>
      <c r="H59" s="1"/>
    </row>
    <row r="60" spans="1:8" x14ac:dyDescent="0.2">
      <c r="A60" s="1">
        <v>40724</v>
      </c>
      <c r="B60">
        <v>10.220000000000001</v>
      </c>
      <c r="C60" s="3">
        <v>0.02</v>
      </c>
      <c r="D60" s="3"/>
      <c r="E60" s="3"/>
      <c r="F60" s="6">
        <v>9913</v>
      </c>
      <c r="G60" s="5">
        <v>9200</v>
      </c>
      <c r="H60" s="1"/>
    </row>
    <row r="61" spans="1:8" x14ac:dyDescent="0.2">
      <c r="A61" s="1">
        <v>40633</v>
      </c>
      <c r="B61">
        <v>9.01</v>
      </c>
      <c r="C61" s="3">
        <v>0.02</v>
      </c>
      <c r="D61" s="3"/>
      <c r="E61" s="3"/>
      <c r="F61" s="6">
        <v>9857</v>
      </c>
      <c r="G61" s="5">
        <v>9180</v>
      </c>
      <c r="H61" s="1"/>
    </row>
    <row r="62" spans="1:8" x14ac:dyDescent="0.2">
      <c r="A62" s="1"/>
      <c r="C62" s="2"/>
    </row>
    <row r="63" spans="1:8" x14ac:dyDescent="0.2">
      <c r="A63" s="1"/>
      <c r="C63" s="2"/>
    </row>
    <row r="64" spans="1:8" x14ac:dyDescent="0.2">
      <c r="A64" s="1"/>
      <c r="C64" s="2"/>
    </row>
    <row r="65" spans="1:3" x14ac:dyDescent="0.2">
      <c r="A65" s="1"/>
      <c r="C65" s="2"/>
    </row>
    <row r="66" spans="1:3" x14ac:dyDescent="0.2">
      <c r="A66" s="1"/>
      <c r="C66" s="2"/>
    </row>
    <row r="67" spans="1:3" x14ac:dyDescent="0.2">
      <c r="A67" s="1"/>
      <c r="C67" s="2"/>
    </row>
    <row r="68" spans="1:3" x14ac:dyDescent="0.2">
      <c r="A68" s="1"/>
      <c r="C68" s="2"/>
    </row>
    <row r="69" spans="1:3" x14ac:dyDescent="0.2">
      <c r="A69" s="1"/>
      <c r="C69" s="2"/>
    </row>
    <row r="70" spans="1:3" x14ac:dyDescent="0.2">
      <c r="A70" s="1"/>
      <c r="C70" s="2"/>
    </row>
    <row r="71" spans="1:3" x14ac:dyDescent="0.2">
      <c r="A71" s="1"/>
      <c r="C71" s="2"/>
    </row>
    <row r="72" spans="1:3" x14ac:dyDescent="0.2">
      <c r="A72" s="1"/>
      <c r="C72" s="2"/>
    </row>
    <row r="73" spans="1:3" x14ac:dyDescent="0.2">
      <c r="A73" s="1"/>
      <c r="C73" s="2"/>
    </row>
    <row r="74" spans="1:3" x14ac:dyDescent="0.2">
      <c r="A74" s="1"/>
      <c r="C74" s="2"/>
    </row>
    <row r="75" spans="1:3" x14ac:dyDescent="0.2">
      <c r="A75" s="1"/>
      <c r="C75" s="2"/>
    </row>
    <row r="76" spans="1:3" x14ac:dyDescent="0.2">
      <c r="A76" s="1"/>
      <c r="C76" s="2"/>
    </row>
    <row r="77" spans="1:3" x14ac:dyDescent="0.2">
      <c r="A77" s="1"/>
      <c r="C77" s="2"/>
    </row>
    <row r="78" spans="1:3" x14ac:dyDescent="0.2">
      <c r="A78" s="1"/>
      <c r="C7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5F5C-0939-0D49-B231-9C86D1362F95}">
  <dimension ref="A1:J78"/>
  <sheetViews>
    <sheetView showGridLines="0" workbookViewId="0">
      <pane ySplit="1" topLeftCell="A26" activePane="bottomLeft" state="frozen"/>
      <selection pane="bottomLeft" activeCell="A2" sqref="A2:G61"/>
    </sheetView>
  </sheetViews>
  <sheetFormatPr baseColWidth="10" defaultRowHeight="16" x14ac:dyDescent="0.2"/>
  <sheetData>
    <row r="1" spans="1:10" x14ac:dyDescent="0.2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10</v>
      </c>
      <c r="G1" s="7" t="s">
        <v>15</v>
      </c>
    </row>
    <row r="2" spans="1:10" x14ac:dyDescent="0.2">
      <c r="A2" s="1">
        <v>46022</v>
      </c>
      <c r="B2">
        <v>93.76</v>
      </c>
      <c r="C2" s="3">
        <v>0.56000000000000005</v>
      </c>
      <c r="D2" s="3">
        <f>SUM(C2:C5)</f>
        <v>2.5299999999999998</v>
      </c>
      <c r="E2" s="3">
        <f>IFERROR(B2/D2,"")</f>
        <v>37.059288537549413</v>
      </c>
      <c r="F2" s="6">
        <v>12051</v>
      </c>
      <c r="G2" s="5">
        <v>4344</v>
      </c>
      <c r="J2" s="1"/>
    </row>
    <row r="3" spans="1:10" x14ac:dyDescent="0.2">
      <c r="A3" s="1">
        <v>45930</v>
      </c>
      <c r="B3">
        <v>119.89</v>
      </c>
      <c r="C3" s="3">
        <v>0.59</v>
      </c>
      <c r="D3" s="3">
        <f t="shared" ref="D3:D58" si="0">SUM(C3:C6)</f>
        <v>2.39</v>
      </c>
      <c r="E3" s="3">
        <f t="shared" ref="E3:E58" si="1">IFERROR(B3/D3,"")</f>
        <v>50.163179916317986</v>
      </c>
      <c r="F3" s="6">
        <v>11510</v>
      </c>
      <c r="G3" s="5">
        <v>4340</v>
      </c>
      <c r="J3" s="1"/>
    </row>
    <row r="4" spans="1:10" x14ac:dyDescent="0.2">
      <c r="A4" s="1">
        <v>45838</v>
      </c>
      <c r="B4">
        <v>133.91</v>
      </c>
      <c r="C4" s="3">
        <v>0.72</v>
      </c>
      <c r="D4" s="3">
        <f t="shared" si="0"/>
        <v>2.34</v>
      </c>
      <c r="E4" s="3">
        <f t="shared" si="1"/>
        <v>57.226495726495727</v>
      </c>
      <c r="F4" s="6">
        <v>11079</v>
      </c>
      <c r="G4" s="5">
        <v>4349</v>
      </c>
      <c r="J4" s="1"/>
    </row>
    <row r="5" spans="1:10" x14ac:dyDescent="0.2">
      <c r="A5" s="1">
        <v>45747</v>
      </c>
      <c r="B5">
        <v>93.25</v>
      </c>
      <c r="C5" s="3">
        <v>0.66</v>
      </c>
      <c r="D5" s="3">
        <f t="shared" si="0"/>
        <v>2.1100000000000003</v>
      </c>
      <c r="E5" s="3">
        <f t="shared" si="1"/>
        <v>44.194312796208521</v>
      </c>
      <c r="F5" s="6">
        <v>10543</v>
      </c>
      <c r="G5" s="5">
        <v>4370</v>
      </c>
      <c r="J5" s="1"/>
    </row>
    <row r="6" spans="1:10" x14ac:dyDescent="0.2">
      <c r="A6" s="1">
        <v>45657</v>
      </c>
      <c r="B6">
        <v>89.13</v>
      </c>
      <c r="C6" s="3">
        <v>0.42</v>
      </c>
      <c r="D6" s="3">
        <f t="shared" si="0"/>
        <v>1.98</v>
      </c>
      <c r="E6" s="3">
        <f t="shared" si="1"/>
        <v>45.015151515151516</v>
      </c>
      <c r="F6" s="6">
        <v>10247</v>
      </c>
      <c r="G6" s="5">
        <v>4393</v>
      </c>
      <c r="J6" s="1"/>
    </row>
    <row r="7" spans="1:10" x14ac:dyDescent="0.2">
      <c r="A7" s="1">
        <v>45565</v>
      </c>
      <c r="B7">
        <v>70.930000000000007</v>
      </c>
      <c r="C7" s="3">
        <v>0.54</v>
      </c>
      <c r="D7" s="3">
        <f t="shared" si="0"/>
        <v>1.77</v>
      </c>
      <c r="E7" s="3">
        <f t="shared" si="1"/>
        <v>40.073446327683619</v>
      </c>
      <c r="F7" s="6">
        <v>9825</v>
      </c>
      <c r="G7" s="5">
        <v>4379</v>
      </c>
      <c r="J7" s="1"/>
    </row>
    <row r="8" spans="1:10" x14ac:dyDescent="0.2">
      <c r="A8" s="1">
        <v>45473</v>
      </c>
      <c r="B8">
        <v>67.489999999999995</v>
      </c>
      <c r="C8" s="3">
        <v>0.49</v>
      </c>
      <c r="D8" s="3">
        <f t="shared" si="0"/>
        <v>1.6</v>
      </c>
      <c r="E8" s="3">
        <f t="shared" si="1"/>
        <v>42.181249999999991</v>
      </c>
      <c r="F8" s="6">
        <v>9559</v>
      </c>
      <c r="G8" s="5">
        <v>4397</v>
      </c>
      <c r="J8" s="1"/>
    </row>
    <row r="9" spans="1:10" x14ac:dyDescent="0.2">
      <c r="A9" s="1">
        <v>45382</v>
      </c>
      <c r="B9">
        <v>60.73</v>
      </c>
      <c r="C9" s="3">
        <v>0.53</v>
      </c>
      <c r="D9" s="3">
        <f t="shared" si="0"/>
        <v>1.44</v>
      </c>
      <c r="E9" s="3">
        <f t="shared" si="1"/>
        <v>42.173611111111107</v>
      </c>
      <c r="F9" s="6">
        <v>9370</v>
      </c>
      <c r="G9" s="5">
        <v>4417</v>
      </c>
      <c r="J9" s="1"/>
    </row>
    <row r="10" spans="1:10" x14ac:dyDescent="0.2">
      <c r="A10" s="1">
        <v>45291</v>
      </c>
      <c r="B10">
        <v>48.69</v>
      </c>
      <c r="C10" s="3">
        <v>0.21</v>
      </c>
      <c r="D10" s="3">
        <f t="shared" si="0"/>
        <v>1.2</v>
      </c>
      <c r="E10" s="3">
        <f t="shared" si="1"/>
        <v>40.575000000000003</v>
      </c>
      <c r="F10" s="6">
        <v>8833</v>
      </c>
      <c r="G10" s="5">
        <v>4495</v>
      </c>
      <c r="J10" s="1"/>
    </row>
    <row r="11" spans="1:10" x14ac:dyDescent="0.2">
      <c r="A11" s="1">
        <v>45199</v>
      </c>
      <c r="B11">
        <v>37.76</v>
      </c>
      <c r="C11" s="3">
        <v>0.37</v>
      </c>
      <c r="D11" s="3">
        <f t="shared" si="0"/>
        <v>1</v>
      </c>
      <c r="E11" s="3">
        <f t="shared" si="1"/>
        <v>37.76</v>
      </c>
      <c r="F11" s="6">
        <v>8542</v>
      </c>
      <c r="G11" s="5">
        <v>4500</v>
      </c>
      <c r="J11" s="1"/>
    </row>
    <row r="12" spans="1:10" x14ac:dyDescent="0.2">
      <c r="A12" s="1">
        <v>45107</v>
      </c>
      <c r="B12">
        <v>44.05</v>
      </c>
      <c r="C12" s="3">
        <v>0.33</v>
      </c>
      <c r="D12" s="3">
        <f t="shared" si="0"/>
        <v>0.94</v>
      </c>
      <c r="E12" s="3">
        <f t="shared" si="1"/>
        <v>46.861702127659576</v>
      </c>
      <c r="F12" s="6">
        <v>8187</v>
      </c>
      <c r="G12" s="5">
        <v>4516</v>
      </c>
      <c r="J12" s="1"/>
    </row>
    <row r="13" spans="1:10" x14ac:dyDescent="0.2">
      <c r="A13" s="1">
        <v>45016</v>
      </c>
      <c r="B13">
        <v>34.549999999999997</v>
      </c>
      <c r="C13" s="3">
        <v>0.28999999999999998</v>
      </c>
      <c r="D13" s="3">
        <f t="shared" si="0"/>
        <v>0.92999999999999994</v>
      </c>
      <c r="E13" s="3">
        <f t="shared" si="1"/>
        <v>37.1505376344086</v>
      </c>
      <c r="F13" s="6">
        <v>8162</v>
      </c>
      <c r="G13" s="5">
        <v>4524</v>
      </c>
      <c r="J13" s="1"/>
    </row>
    <row r="14" spans="1:10" x14ac:dyDescent="0.2">
      <c r="A14" s="1">
        <v>44926</v>
      </c>
      <c r="B14">
        <v>29.49</v>
      </c>
      <c r="C14" s="3">
        <v>0.01</v>
      </c>
      <c r="D14" s="3">
        <f t="shared" si="0"/>
        <v>0.99</v>
      </c>
      <c r="E14" s="3">
        <f t="shared" si="1"/>
        <v>29.787878787878785</v>
      </c>
      <c r="F14" s="6">
        <v>7852</v>
      </c>
      <c r="G14" s="5">
        <v>4513</v>
      </c>
      <c r="J14" s="1"/>
    </row>
    <row r="15" spans="1:10" x14ac:dyDescent="0.2">
      <c r="A15" s="1">
        <v>44834</v>
      </c>
      <c r="B15">
        <v>23.54</v>
      </c>
      <c r="C15" s="3">
        <v>0.31</v>
      </c>
      <c r="D15" s="3">
        <f t="shared" si="0"/>
        <v>1.1099999999999999</v>
      </c>
      <c r="E15" s="3">
        <f t="shared" si="1"/>
        <v>21.207207207207208</v>
      </c>
      <c r="F15" s="6">
        <v>7926</v>
      </c>
      <c r="G15" s="5">
        <v>4503</v>
      </c>
      <c r="J15" s="1"/>
    </row>
    <row r="16" spans="1:10" x14ac:dyDescent="0.2">
      <c r="A16" s="1">
        <v>44742</v>
      </c>
      <c r="B16">
        <v>17.489999999999998</v>
      </c>
      <c r="C16" s="3">
        <v>0.32</v>
      </c>
      <c r="D16" s="3">
        <f t="shared" si="0"/>
        <v>1.1199999999999999</v>
      </c>
      <c r="E16" s="3">
        <f t="shared" si="1"/>
        <v>15.616071428571429</v>
      </c>
      <c r="F16" s="6">
        <v>7970</v>
      </c>
      <c r="G16" s="5">
        <v>4502</v>
      </c>
      <c r="J16" s="1"/>
    </row>
    <row r="17" spans="1:10" x14ac:dyDescent="0.2">
      <c r="A17" s="1">
        <v>44651</v>
      </c>
      <c r="B17">
        <v>37.46</v>
      </c>
      <c r="C17" s="3">
        <v>0.35</v>
      </c>
      <c r="D17" s="3">
        <f t="shared" si="0"/>
        <v>1.1000000000000001</v>
      </c>
      <c r="E17" s="3">
        <f t="shared" si="1"/>
        <v>34.054545454545455</v>
      </c>
      <c r="F17" s="6">
        <v>7868</v>
      </c>
      <c r="G17" s="5">
        <v>4530</v>
      </c>
      <c r="J17" s="1"/>
    </row>
    <row r="18" spans="1:10" x14ac:dyDescent="0.2">
      <c r="A18" s="1">
        <v>44561</v>
      </c>
      <c r="B18">
        <v>60.24</v>
      </c>
      <c r="C18" s="3">
        <v>0.13</v>
      </c>
      <c r="D18" s="3">
        <f t="shared" si="0"/>
        <v>1.1299999999999999</v>
      </c>
      <c r="E18" s="3">
        <f t="shared" si="1"/>
        <v>53.309734513274343</v>
      </c>
      <c r="F18" s="6">
        <v>7709</v>
      </c>
      <c r="G18" s="5">
        <v>4554</v>
      </c>
      <c r="J18" s="1"/>
    </row>
    <row r="19" spans="1:10" x14ac:dyDescent="0.2">
      <c r="A19" s="1">
        <v>44469</v>
      </c>
      <c r="B19">
        <v>61.03</v>
      </c>
      <c r="C19" s="3">
        <v>0.32</v>
      </c>
      <c r="D19" s="3">
        <f t="shared" si="0"/>
        <v>1.1200000000000001</v>
      </c>
      <c r="E19" s="3">
        <f t="shared" si="1"/>
        <v>54.491071428571423</v>
      </c>
      <c r="F19" s="6">
        <v>7483</v>
      </c>
      <c r="G19" s="5">
        <v>4549</v>
      </c>
      <c r="J19" s="1"/>
    </row>
    <row r="20" spans="1:10" x14ac:dyDescent="0.2">
      <c r="A20" s="1">
        <v>44377</v>
      </c>
      <c r="B20">
        <v>52.82</v>
      </c>
      <c r="C20" s="3">
        <v>0.3</v>
      </c>
      <c r="D20" s="3">
        <f t="shared" si="0"/>
        <v>0.97</v>
      </c>
      <c r="E20" s="3">
        <f t="shared" si="1"/>
        <v>54.453608247422679</v>
      </c>
      <c r="F20" s="6">
        <v>7342</v>
      </c>
      <c r="G20" s="5">
        <v>4551</v>
      </c>
      <c r="J20" s="1"/>
    </row>
    <row r="21" spans="1:10" x14ac:dyDescent="0.2">
      <c r="A21" s="1">
        <v>44286</v>
      </c>
      <c r="B21">
        <v>52.17</v>
      </c>
      <c r="C21" s="3">
        <v>0.38</v>
      </c>
      <c r="D21" s="3">
        <f t="shared" si="0"/>
        <v>0.83000000000000007</v>
      </c>
      <c r="E21" s="3">
        <f t="shared" si="1"/>
        <v>62.855421686746986</v>
      </c>
      <c r="F21" s="6">
        <v>7163</v>
      </c>
      <c r="G21" s="5">
        <v>4556</v>
      </c>
      <c r="J21" s="1"/>
    </row>
    <row r="22" spans="1:10" x14ac:dyDescent="0.2">
      <c r="A22" s="1">
        <v>44196</v>
      </c>
      <c r="B22">
        <v>54.07</v>
      </c>
      <c r="C22" s="3">
        <v>0.12</v>
      </c>
      <c r="D22" s="3">
        <f t="shared" si="0"/>
        <v>0.6100000000000001</v>
      </c>
      <c r="E22" s="3">
        <f t="shared" si="1"/>
        <v>88.639344262295069</v>
      </c>
      <c r="F22" s="6">
        <v>6644</v>
      </c>
      <c r="G22" s="5">
        <v>4542</v>
      </c>
      <c r="J22" s="1"/>
    </row>
    <row r="23" spans="1:10" x14ac:dyDescent="0.2">
      <c r="A23" s="1">
        <v>44104</v>
      </c>
      <c r="B23">
        <v>50</v>
      </c>
      <c r="C23" s="3">
        <v>0.17</v>
      </c>
      <c r="D23" s="3">
        <f t="shared" si="0"/>
        <v>0.62</v>
      </c>
      <c r="E23" s="3">
        <f t="shared" si="1"/>
        <v>80.645161290322577</v>
      </c>
      <c r="F23" s="6">
        <v>6436</v>
      </c>
      <c r="G23" s="5">
        <v>4551</v>
      </c>
      <c r="J23" s="1"/>
    </row>
    <row r="24" spans="1:10" x14ac:dyDescent="0.2">
      <c r="A24" s="1">
        <v>44012</v>
      </c>
      <c r="B24">
        <v>45.5</v>
      </c>
      <c r="C24" s="3">
        <v>0.16</v>
      </c>
      <c r="D24" s="3">
        <f t="shared" si="0"/>
        <v>0.6</v>
      </c>
      <c r="E24" s="3">
        <f t="shared" si="1"/>
        <v>75.833333333333343</v>
      </c>
      <c r="F24" s="6">
        <v>6148</v>
      </c>
      <c r="G24" s="5">
        <v>4539</v>
      </c>
      <c r="J24" s="1"/>
    </row>
    <row r="25" spans="1:10" x14ac:dyDescent="0.2">
      <c r="A25" s="1">
        <v>43921</v>
      </c>
      <c r="B25">
        <v>37.549999999999997</v>
      </c>
      <c r="C25" s="3">
        <v>0.16</v>
      </c>
      <c r="D25" s="3">
        <f t="shared" si="0"/>
        <v>0.5</v>
      </c>
      <c r="E25" s="3">
        <f t="shared" si="1"/>
        <v>75.099999999999994</v>
      </c>
      <c r="F25" s="6">
        <v>5768</v>
      </c>
      <c r="G25" s="5">
        <v>4525</v>
      </c>
      <c r="J25" s="1"/>
    </row>
    <row r="26" spans="1:10" x14ac:dyDescent="0.2">
      <c r="A26" s="1">
        <v>43830</v>
      </c>
      <c r="B26">
        <v>32.36</v>
      </c>
      <c r="C26" s="3">
        <v>0.13</v>
      </c>
      <c r="D26" s="3">
        <f t="shared" si="0"/>
        <v>0.42000000000000004</v>
      </c>
      <c r="E26" s="3">
        <f t="shared" si="1"/>
        <v>77.047619047619037</v>
      </c>
      <c r="F26" s="6">
        <v>5467</v>
      </c>
      <c r="G26" s="5">
        <v>4518</v>
      </c>
      <c r="J26" s="1"/>
    </row>
    <row r="27" spans="1:10" x14ac:dyDescent="0.2">
      <c r="A27" s="1">
        <v>43738</v>
      </c>
      <c r="B27">
        <v>26.76</v>
      </c>
      <c r="C27" s="3">
        <v>0.15</v>
      </c>
      <c r="D27" s="3">
        <f t="shared" si="0"/>
        <v>0.31999999999999995</v>
      </c>
      <c r="E27" s="3">
        <f t="shared" si="1"/>
        <v>83.625000000000014</v>
      </c>
      <c r="F27" s="6">
        <v>5245</v>
      </c>
      <c r="G27" s="5">
        <v>4516</v>
      </c>
      <c r="J27" s="1"/>
    </row>
    <row r="28" spans="1:10" x14ac:dyDescent="0.2">
      <c r="A28" s="1">
        <v>43646</v>
      </c>
      <c r="B28">
        <v>36.729999999999997</v>
      </c>
      <c r="C28" s="3">
        <v>0.06</v>
      </c>
      <c r="D28" s="3">
        <f t="shared" si="0"/>
        <v>0.26</v>
      </c>
      <c r="E28" s="3">
        <f t="shared" si="1"/>
        <v>141.26923076923075</v>
      </c>
      <c r="F28" s="6">
        <v>4923</v>
      </c>
      <c r="G28" s="5">
        <v>4522</v>
      </c>
      <c r="J28" s="1"/>
    </row>
    <row r="29" spans="1:10" x14ac:dyDescent="0.2">
      <c r="A29" s="1">
        <v>43555</v>
      </c>
      <c r="B29">
        <v>35.659999999999997</v>
      </c>
      <c r="C29" s="3">
        <v>0.08</v>
      </c>
      <c r="D29" s="3">
        <f t="shared" si="0"/>
        <v>0.29000000000000004</v>
      </c>
      <c r="E29" s="3">
        <f t="shared" si="1"/>
        <v>122.96551724137929</v>
      </c>
      <c r="F29" s="6">
        <v>4521</v>
      </c>
      <c r="G29" s="5">
        <v>4519</v>
      </c>
      <c r="J29" s="1"/>
    </row>
    <row r="30" spans="1:10" x14ac:dyDescent="0.2">
      <c r="A30" s="1">
        <v>43465</v>
      </c>
      <c r="B30">
        <v>26.77</v>
      </c>
      <c r="C30" s="3">
        <v>0.03</v>
      </c>
      <c r="D30" s="3">
        <f t="shared" si="0"/>
        <v>0.27</v>
      </c>
      <c r="E30" s="3">
        <f t="shared" si="1"/>
        <v>99.148148148148138</v>
      </c>
      <c r="F30" s="6">
        <v>4187</v>
      </c>
      <c r="G30" s="5">
        <v>4512</v>
      </c>
      <c r="J30" s="1"/>
    </row>
    <row r="31" spans="1:10" x14ac:dyDescent="0.2">
      <c r="A31" s="1">
        <v>43373</v>
      </c>
      <c r="B31">
        <v>37.409999999999997</v>
      </c>
      <c r="C31" s="3">
        <v>0.09</v>
      </c>
      <c r="D31" s="3">
        <f t="shared" si="0"/>
        <v>0.27999999999999997</v>
      </c>
      <c r="E31" s="3">
        <f t="shared" si="1"/>
        <v>133.60714285714286</v>
      </c>
      <c r="F31" s="6">
        <v>3999</v>
      </c>
      <c r="G31" s="5">
        <v>4519</v>
      </c>
      <c r="J31" s="1"/>
    </row>
    <row r="32" spans="1:10" x14ac:dyDescent="0.2">
      <c r="A32" s="1">
        <v>43281</v>
      </c>
      <c r="B32">
        <v>39.14</v>
      </c>
      <c r="C32" s="3">
        <v>0.09</v>
      </c>
      <c r="D32" s="3">
        <f t="shared" si="0"/>
        <v>0.22</v>
      </c>
      <c r="E32" s="3">
        <f t="shared" si="1"/>
        <v>177.90909090909091</v>
      </c>
      <c r="F32" s="6">
        <v>3907</v>
      </c>
      <c r="G32" s="5">
        <v>4516</v>
      </c>
      <c r="J32" s="1"/>
    </row>
    <row r="33" spans="1:10" x14ac:dyDescent="0.2">
      <c r="A33" s="1">
        <v>43190</v>
      </c>
      <c r="B33">
        <v>29.54</v>
      </c>
      <c r="C33" s="3">
        <v>0.06</v>
      </c>
      <c r="D33" s="3">
        <f t="shared" si="0"/>
        <v>0.15</v>
      </c>
      <c r="E33" s="3">
        <f t="shared" si="1"/>
        <v>196.93333333333334</v>
      </c>
      <c r="F33" s="6">
        <v>3701</v>
      </c>
      <c r="G33" s="5">
        <v>4504</v>
      </c>
      <c r="J33" s="1"/>
    </row>
    <row r="34" spans="1:10" x14ac:dyDescent="0.2">
      <c r="A34" s="1">
        <v>43100</v>
      </c>
      <c r="B34">
        <v>19.2</v>
      </c>
      <c r="C34" s="3">
        <v>0.04</v>
      </c>
      <c r="D34" s="3">
        <f t="shared" si="0"/>
        <v>0.13</v>
      </c>
      <c r="E34" s="3">
        <f t="shared" si="1"/>
        <v>147.69230769230768</v>
      </c>
      <c r="F34" s="6">
        <v>3286</v>
      </c>
      <c r="G34" s="5">
        <v>4468</v>
      </c>
      <c r="J34" s="1"/>
    </row>
    <row r="35" spans="1:10" x14ac:dyDescent="0.2">
      <c r="A35" s="1">
        <v>43008</v>
      </c>
      <c r="B35">
        <v>18.14</v>
      </c>
      <c r="C35" s="3">
        <v>0.03</v>
      </c>
      <c r="D35" s="3">
        <f t="shared" si="0"/>
        <v>0.11</v>
      </c>
      <c r="E35" s="3">
        <f t="shared" si="1"/>
        <v>164.90909090909091</v>
      </c>
      <c r="F35" s="6">
        <v>2985</v>
      </c>
      <c r="G35" s="5">
        <v>4474</v>
      </c>
      <c r="J35" s="1"/>
    </row>
    <row r="36" spans="1:10" x14ac:dyDescent="0.2">
      <c r="A36" s="1">
        <v>42916</v>
      </c>
      <c r="B36">
        <v>14.94</v>
      </c>
      <c r="C36" s="3">
        <v>0.02</v>
      </c>
      <c r="D36" s="3">
        <f t="shared" si="0"/>
        <v>0.09</v>
      </c>
      <c r="E36" s="3">
        <f t="shared" si="1"/>
        <v>166</v>
      </c>
      <c r="F36" s="6">
        <v>2785</v>
      </c>
      <c r="G36" s="5">
        <v>4463</v>
      </c>
      <c r="J36" s="1"/>
    </row>
    <row r="37" spans="1:10" x14ac:dyDescent="0.2">
      <c r="A37" s="1">
        <v>42825</v>
      </c>
      <c r="B37">
        <v>14.78</v>
      </c>
      <c r="C37" s="3">
        <v>0.04</v>
      </c>
      <c r="D37" s="3">
        <f t="shared" si="0"/>
        <v>7.9999999999999988E-2</v>
      </c>
      <c r="E37" s="3">
        <f t="shared" si="1"/>
        <v>184.75000000000003</v>
      </c>
      <c r="F37" s="6">
        <v>2637</v>
      </c>
      <c r="G37" s="5">
        <v>4455</v>
      </c>
      <c r="J37" s="1"/>
    </row>
    <row r="38" spans="1:10" x14ac:dyDescent="0.2">
      <c r="A38" s="1">
        <v>42735</v>
      </c>
      <c r="B38">
        <v>12.38</v>
      </c>
      <c r="C38" s="3">
        <v>0.02</v>
      </c>
      <c r="D38" s="3">
        <f t="shared" si="0"/>
        <v>0.05</v>
      </c>
      <c r="E38" s="3">
        <f t="shared" si="1"/>
        <v>247.6</v>
      </c>
      <c r="F38" s="6">
        <v>2478</v>
      </c>
      <c r="G38" s="5">
        <v>4387</v>
      </c>
      <c r="J38" s="1"/>
    </row>
    <row r="39" spans="1:10" x14ac:dyDescent="0.2">
      <c r="A39" s="1">
        <v>42643</v>
      </c>
      <c r="B39">
        <v>9.86</v>
      </c>
      <c r="C39" s="3">
        <v>0.01</v>
      </c>
      <c r="D39" s="3">
        <f t="shared" si="0"/>
        <v>0.04</v>
      </c>
      <c r="E39" s="3">
        <f t="shared" si="1"/>
        <v>246.49999999999997</v>
      </c>
      <c r="F39" s="6">
        <v>2290</v>
      </c>
      <c r="G39" s="5">
        <v>4384</v>
      </c>
      <c r="J39" s="1"/>
    </row>
    <row r="40" spans="1:10" x14ac:dyDescent="0.2">
      <c r="A40" s="1">
        <v>42551</v>
      </c>
      <c r="B40">
        <v>9.15</v>
      </c>
      <c r="C40" s="3">
        <v>0.01</v>
      </c>
      <c r="D40" s="3">
        <f t="shared" si="0"/>
        <v>0.04</v>
      </c>
      <c r="E40" s="3">
        <f t="shared" si="1"/>
        <v>228.75</v>
      </c>
      <c r="F40" s="6">
        <v>2105</v>
      </c>
      <c r="G40" s="5">
        <v>4382</v>
      </c>
      <c r="J40" s="1"/>
    </row>
    <row r="41" spans="1:10" x14ac:dyDescent="0.2">
      <c r="A41" s="1">
        <v>42460</v>
      </c>
      <c r="B41">
        <v>10.220000000000001</v>
      </c>
      <c r="C41" s="3">
        <v>0.01</v>
      </c>
      <c r="D41" s="3">
        <f t="shared" si="0"/>
        <v>0.04</v>
      </c>
      <c r="E41" s="3">
        <f t="shared" si="1"/>
        <v>255.5</v>
      </c>
      <c r="F41" s="6">
        <v>1958</v>
      </c>
      <c r="G41" s="5">
        <v>4380</v>
      </c>
      <c r="J41" s="1"/>
    </row>
    <row r="42" spans="1:10" x14ac:dyDescent="0.2">
      <c r="A42" s="1">
        <v>42369</v>
      </c>
      <c r="B42">
        <v>11.44</v>
      </c>
      <c r="C42" s="3">
        <v>0.01</v>
      </c>
      <c r="D42" s="3">
        <f t="shared" si="0"/>
        <v>0.04</v>
      </c>
      <c r="E42" s="3">
        <f t="shared" si="1"/>
        <v>286</v>
      </c>
      <c r="F42" s="6">
        <v>1823</v>
      </c>
      <c r="G42" s="5">
        <v>4365</v>
      </c>
      <c r="J42" s="1"/>
    </row>
    <row r="43" spans="1:10" x14ac:dyDescent="0.2">
      <c r="A43" s="1">
        <v>42277</v>
      </c>
      <c r="B43">
        <v>10.33</v>
      </c>
      <c r="C43" s="3">
        <v>0.01</v>
      </c>
      <c r="D43" s="3">
        <f t="shared" si="0"/>
        <v>0.05</v>
      </c>
      <c r="E43" s="3">
        <f t="shared" si="1"/>
        <v>206.6</v>
      </c>
      <c r="F43" s="6">
        <v>1738</v>
      </c>
      <c r="G43" s="5">
        <v>4376</v>
      </c>
      <c r="J43" s="1"/>
    </row>
    <row r="44" spans="1:10" x14ac:dyDescent="0.2">
      <c r="A44" s="1">
        <v>42185</v>
      </c>
      <c r="B44">
        <v>9.3800000000000008</v>
      </c>
      <c r="C44" s="3">
        <v>0.01</v>
      </c>
      <c r="D44" s="3">
        <f t="shared" si="0"/>
        <v>0.05</v>
      </c>
      <c r="E44" s="3">
        <f t="shared" si="1"/>
        <v>187.6</v>
      </c>
      <c r="F44" s="6">
        <v>1645</v>
      </c>
      <c r="G44" s="5">
        <v>4361</v>
      </c>
      <c r="J44" s="1"/>
    </row>
    <row r="45" spans="1:10" x14ac:dyDescent="0.2">
      <c r="A45" s="1">
        <v>42094</v>
      </c>
      <c r="B45">
        <v>5.95</v>
      </c>
      <c r="C45" s="3">
        <v>0.01</v>
      </c>
      <c r="D45" s="3">
        <f t="shared" si="0"/>
        <v>0.06</v>
      </c>
      <c r="E45" s="3">
        <f t="shared" si="1"/>
        <v>99.166666666666671</v>
      </c>
      <c r="F45" s="6">
        <v>1573</v>
      </c>
      <c r="G45" s="5">
        <v>4338</v>
      </c>
      <c r="J45" s="1"/>
    </row>
    <row r="46" spans="1:10" x14ac:dyDescent="0.2">
      <c r="A46" s="1">
        <v>42004</v>
      </c>
      <c r="B46">
        <v>4.88</v>
      </c>
      <c r="C46" s="3">
        <v>0.02</v>
      </c>
      <c r="D46" s="3">
        <f t="shared" si="0"/>
        <v>6.0000000000000005E-2</v>
      </c>
      <c r="E46" s="3">
        <f t="shared" si="1"/>
        <v>81.333333333333329</v>
      </c>
      <c r="F46" s="6">
        <v>1485</v>
      </c>
      <c r="G46" s="5">
        <v>4319</v>
      </c>
      <c r="J46" s="1"/>
    </row>
    <row r="47" spans="1:10" x14ac:dyDescent="0.2">
      <c r="A47" s="1">
        <v>41912</v>
      </c>
      <c r="B47">
        <v>6.45</v>
      </c>
      <c r="C47" s="3">
        <v>0.01</v>
      </c>
      <c r="D47" s="3">
        <f t="shared" si="0"/>
        <v>0.05</v>
      </c>
      <c r="E47" s="3">
        <f t="shared" si="1"/>
        <v>129</v>
      </c>
      <c r="F47" s="6">
        <v>1409</v>
      </c>
      <c r="G47" s="5">
        <v>4327</v>
      </c>
      <c r="J47" s="1"/>
    </row>
    <row r="48" spans="1:10" x14ac:dyDescent="0.2">
      <c r="A48" s="1">
        <v>41820</v>
      </c>
      <c r="B48">
        <v>6.29</v>
      </c>
      <c r="C48" s="3">
        <v>0.02</v>
      </c>
      <c r="D48" s="3">
        <f t="shared" si="0"/>
        <v>0.05</v>
      </c>
      <c r="E48" s="3">
        <f t="shared" si="1"/>
        <v>125.8</v>
      </c>
      <c r="F48" s="6">
        <v>1340</v>
      </c>
      <c r="G48" s="5">
        <v>4314</v>
      </c>
      <c r="J48" s="1"/>
    </row>
    <row r="49" spans="1:10" x14ac:dyDescent="0.2">
      <c r="A49" s="1">
        <v>41729</v>
      </c>
      <c r="B49">
        <v>5.03</v>
      </c>
      <c r="C49" s="3">
        <v>0.01</v>
      </c>
      <c r="D49" s="3">
        <f t="shared" si="0"/>
        <v>0.04</v>
      </c>
      <c r="E49" s="3">
        <f t="shared" si="1"/>
        <v>125.75</v>
      </c>
      <c r="F49" s="6">
        <v>1270</v>
      </c>
      <c r="G49" s="5">
        <v>4308</v>
      </c>
      <c r="J49" s="1"/>
    </row>
    <row r="50" spans="1:10" x14ac:dyDescent="0.2">
      <c r="A50" s="1">
        <v>41639</v>
      </c>
      <c r="B50">
        <v>5.26</v>
      </c>
      <c r="C50" s="3">
        <v>0.01</v>
      </c>
      <c r="D50" s="3">
        <f t="shared" si="0"/>
        <v>0.03</v>
      </c>
      <c r="E50" s="3">
        <f t="shared" si="1"/>
        <v>175.33333333333334</v>
      </c>
      <c r="F50" s="6">
        <v>1175</v>
      </c>
      <c r="G50" s="5">
        <v>4253</v>
      </c>
      <c r="J50" s="1"/>
    </row>
    <row r="51" spans="1:10" x14ac:dyDescent="0.2">
      <c r="A51" s="1">
        <v>41547</v>
      </c>
      <c r="B51">
        <v>4.42</v>
      </c>
      <c r="C51" s="3">
        <v>0.01</v>
      </c>
      <c r="D51" s="3">
        <f t="shared" si="0"/>
        <v>0.02</v>
      </c>
      <c r="E51" s="3">
        <f t="shared" si="1"/>
        <v>221</v>
      </c>
      <c r="F51" s="6">
        <v>1106</v>
      </c>
      <c r="G51" s="5">
        <v>4269</v>
      </c>
      <c r="J51" s="1"/>
    </row>
    <row r="52" spans="1:10" x14ac:dyDescent="0.2">
      <c r="A52" s="1">
        <v>41455</v>
      </c>
      <c r="B52">
        <v>3.02</v>
      </c>
      <c r="C52" s="3">
        <v>0.01</v>
      </c>
      <c r="D52" s="3">
        <f t="shared" si="0"/>
        <v>0.01</v>
      </c>
      <c r="E52" s="3">
        <f t="shared" si="1"/>
        <v>302</v>
      </c>
      <c r="F52" s="6">
        <v>1069</v>
      </c>
      <c r="G52" s="5">
        <v>4241</v>
      </c>
      <c r="J52" s="1"/>
    </row>
    <row r="53" spans="1:10" x14ac:dyDescent="0.2">
      <c r="A53" s="1">
        <v>41364</v>
      </c>
      <c r="B53">
        <v>2.7</v>
      </c>
      <c r="C53" s="3">
        <v>0</v>
      </c>
      <c r="D53" s="3">
        <f t="shared" si="0"/>
        <v>0</v>
      </c>
      <c r="E53" s="3" t="str">
        <f t="shared" si="1"/>
        <v/>
      </c>
      <c r="F53" s="6">
        <v>1024</v>
      </c>
      <c r="G53" s="5">
        <v>4210</v>
      </c>
      <c r="J53" s="1"/>
    </row>
    <row r="54" spans="1:10" x14ac:dyDescent="0.2">
      <c r="A54" s="1">
        <v>41274</v>
      </c>
      <c r="B54">
        <v>1.32</v>
      </c>
      <c r="C54" s="3">
        <v>0</v>
      </c>
      <c r="D54" s="3">
        <f t="shared" si="0"/>
        <v>0</v>
      </c>
      <c r="E54" s="3" t="str">
        <f t="shared" si="1"/>
        <v/>
      </c>
      <c r="F54" s="6">
        <v>945</v>
      </c>
      <c r="G54" s="5">
        <v>4123</v>
      </c>
      <c r="J54" s="1"/>
    </row>
    <row r="55" spans="1:10" x14ac:dyDescent="0.2">
      <c r="A55" s="1">
        <v>41182</v>
      </c>
      <c r="B55">
        <v>0.78</v>
      </c>
      <c r="C55" s="3">
        <v>0</v>
      </c>
      <c r="D55" s="3">
        <f t="shared" si="0"/>
        <v>0.01</v>
      </c>
      <c r="E55" s="3">
        <f t="shared" si="1"/>
        <v>78</v>
      </c>
      <c r="F55" s="6">
        <v>905</v>
      </c>
      <c r="G55" s="5">
        <v>4111</v>
      </c>
      <c r="J55" s="1"/>
    </row>
    <row r="56" spans="1:10" x14ac:dyDescent="0.2">
      <c r="A56" s="1">
        <v>41090</v>
      </c>
      <c r="B56">
        <v>0.98</v>
      </c>
      <c r="C56" s="3">
        <v>0</v>
      </c>
      <c r="D56" s="3">
        <f t="shared" si="0"/>
        <v>0.03</v>
      </c>
      <c r="E56" s="3">
        <f t="shared" si="1"/>
        <v>32.666666666666664</v>
      </c>
      <c r="F56" s="6">
        <v>889</v>
      </c>
      <c r="G56" s="5">
        <v>4117</v>
      </c>
      <c r="J56" s="1"/>
    </row>
    <row r="57" spans="1:10" x14ac:dyDescent="0.2">
      <c r="A57" s="1">
        <v>40999</v>
      </c>
      <c r="B57">
        <v>1.64</v>
      </c>
      <c r="C57" s="3">
        <v>0</v>
      </c>
      <c r="D57" s="3">
        <f t="shared" si="0"/>
        <v>0.05</v>
      </c>
      <c r="E57" s="3">
        <f t="shared" si="1"/>
        <v>32.799999999999997</v>
      </c>
      <c r="F57" s="6">
        <v>870</v>
      </c>
      <c r="G57" s="5">
        <v>3882</v>
      </c>
      <c r="J57" s="1"/>
    </row>
    <row r="58" spans="1:10" x14ac:dyDescent="0.2">
      <c r="A58" s="1">
        <v>40908</v>
      </c>
      <c r="B58">
        <v>0.99</v>
      </c>
      <c r="C58" s="3">
        <v>0.01</v>
      </c>
      <c r="D58" s="3">
        <f t="shared" si="0"/>
        <v>7.0000000000000007E-2</v>
      </c>
      <c r="E58" s="3">
        <f t="shared" si="1"/>
        <v>14.142857142857141</v>
      </c>
      <c r="F58" s="6">
        <v>876</v>
      </c>
      <c r="G58" s="5">
        <v>3806</v>
      </c>
      <c r="J58" s="1"/>
    </row>
    <row r="59" spans="1:10" x14ac:dyDescent="0.2">
      <c r="A59" s="1">
        <v>40816</v>
      </c>
      <c r="B59">
        <v>1.62</v>
      </c>
      <c r="C59" s="3">
        <v>0.02</v>
      </c>
      <c r="D59" s="3"/>
      <c r="E59" s="3"/>
      <c r="F59" s="6">
        <v>822</v>
      </c>
      <c r="G59" s="5">
        <v>3771</v>
      </c>
      <c r="J59" s="1"/>
    </row>
    <row r="60" spans="1:10" x14ac:dyDescent="0.2">
      <c r="A60" s="1">
        <v>40724</v>
      </c>
      <c r="B60">
        <v>3.75</v>
      </c>
      <c r="C60" s="3">
        <v>0.02</v>
      </c>
      <c r="D60" s="3"/>
      <c r="E60" s="3"/>
      <c r="F60" s="6">
        <v>789</v>
      </c>
      <c r="G60" s="5">
        <v>3774</v>
      </c>
      <c r="J60" s="1"/>
    </row>
    <row r="61" spans="1:10" x14ac:dyDescent="0.2">
      <c r="A61" s="1">
        <v>40633</v>
      </c>
      <c r="B61">
        <v>3.4</v>
      </c>
      <c r="C61" s="3">
        <v>0.02</v>
      </c>
      <c r="D61" s="3"/>
      <c r="E61" s="3"/>
      <c r="F61" s="6">
        <v>719</v>
      </c>
      <c r="G61" s="5">
        <v>3797</v>
      </c>
      <c r="J61" s="1"/>
    </row>
    <row r="62" spans="1:10" x14ac:dyDescent="0.2">
      <c r="A62" s="1"/>
      <c r="C62" s="2"/>
    </row>
    <row r="63" spans="1:10" x14ac:dyDescent="0.2">
      <c r="A63" s="1"/>
      <c r="C63" s="2"/>
    </row>
    <row r="64" spans="1:10" x14ac:dyDescent="0.2">
      <c r="A64" s="1"/>
      <c r="C64" s="2"/>
    </row>
    <row r="65" spans="1:3" x14ac:dyDescent="0.2">
      <c r="A65" s="1"/>
      <c r="C65" s="2"/>
    </row>
    <row r="66" spans="1:3" x14ac:dyDescent="0.2">
      <c r="A66" s="1"/>
      <c r="C66" s="2"/>
    </row>
    <row r="67" spans="1:3" x14ac:dyDescent="0.2">
      <c r="A67" s="1"/>
      <c r="C67" s="2"/>
    </row>
    <row r="68" spans="1:3" x14ac:dyDescent="0.2">
      <c r="A68" s="1"/>
      <c r="C68" s="2"/>
    </row>
    <row r="69" spans="1:3" x14ac:dyDescent="0.2">
      <c r="A69" s="1"/>
      <c r="C69" s="2"/>
    </row>
    <row r="70" spans="1:3" x14ac:dyDescent="0.2">
      <c r="A70" s="1"/>
      <c r="C70" s="2"/>
    </row>
    <row r="71" spans="1:3" x14ac:dyDescent="0.2">
      <c r="A71" s="1"/>
      <c r="C71" s="2"/>
    </row>
    <row r="72" spans="1:3" x14ac:dyDescent="0.2">
      <c r="A72" s="1"/>
      <c r="C72" s="2"/>
    </row>
    <row r="73" spans="1:3" x14ac:dyDescent="0.2">
      <c r="A73" s="1"/>
      <c r="C73" s="2"/>
    </row>
    <row r="74" spans="1:3" x14ac:dyDescent="0.2">
      <c r="A74" s="1"/>
      <c r="C74" s="2"/>
    </row>
    <row r="75" spans="1:3" x14ac:dyDescent="0.2">
      <c r="A75" s="1"/>
      <c r="C75" s="2"/>
    </row>
    <row r="76" spans="1:3" x14ac:dyDescent="0.2">
      <c r="A76" s="1"/>
      <c r="C76" s="2"/>
    </row>
    <row r="77" spans="1:3" x14ac:dyDescent="0.2">
      <c r="A77" s="1"/>
      <c r="C77" s="2"/>
    </row>
    <row r="78" spans="1:3" x14ac:dyDescent="0.2">
      <c r="A78" s="1"/>
      <c r="C7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5F7E-420B-E646-8B5F-5A084A62FEFD}">
  <dimension ref="A1:L61"/>
  <sheetViews>
    <sheetView showGridLines="0" workbookViewId="0">
      <pane ySplit="1" topLeftCell="A26" activePane="bottomLeft" state="frozen"/>
      <selection pane="bottomLeft" activeCell="A2" sqref="A2:G61"/>
    </sheetView>
  </sheetViews>
  <sheetFormatPr baseColWidth="10" defaultRowHeight="16" x14ac:dyDescent="0.2"/>
  <sheetData>
    <row r="1" spans="1:12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10</v>
      </c>
      <c r="G1" t="s">
        <v>15</v>
      </c>
    </row>
    <row r="2" spans="1:12" x14ac:dyDescent="0.2">
      <c r="A2" s="1">
        <v>46022</v>
      </c>
      <c r="B2">
        <v>660.09</v>
      </c>
      <c r="C2" s="3">
        <v>8.8699999999999992</v>
      </c>
      <c r="D2" s="3">
        <f>SUM(C2:C5)</f>
        <v>23.49</v>
      </c>
      <c r="E2" s="3">
        <f>IFERROR(B2/D2,"")</f>
        <v>28.100893997445723</v>
      </c>
      <c r="F2" s="6">
        <v>59894</v>
      </c>
      <c r="G2" s="5">
        <v>2574</v>
      </c>
      <c r="H2" s="1"/>
      <c r="I2" s="1"/>
      <c r="J2" s="4"/>
      <c r="K2" s="1"/>
      <c r="L2" s="5"/>
    </row>
    <row r="3" spans="1:12" x14ac:dyDescent="0.2">
      <c r="A3" s="1">
        <v>45930</v>
      </c>
      <c r="B3">
        <v>733.78</v>
      </c>
      <c r="C3" s="3">
        <v>1.05</v>
      </c>
      <c r="D3" s="3">
        <f t="shared" ref="D3:D61" si="0">SUM(C3:C6)</f>
        <v>22.58</v>
      </c>
      <c r="E3" s="3">
        <f t="shared" ref="E3:E53" si="1">IFERROR(B3/D3,"")</f>
        <v>32.496899911426041</v>
      </c>
      <c r="F3" s="6">
        <v>51242</v>
      </c>
      <c r="G3" s="5">
        <v>2572</v>
      </c>
      <c r="H3" s="1"/>
      <c r="I3" s="1"/>
      <c r="J3" s="4"/>
      <c r="K3" s="1"/>
      <c r="L3" s="5"/>
    </row>
    <row r="4" spans="1:12" x14ac:dyDescent="0.2">
      <c r="A4" s="1">
        <v>45838</v>
      </c>
      <c r="B4">
        <v>736.99</v>
      </c>
      <c r="C4" s="3">
        <v>7.14</v>
      </c>
      <c r="D4" s="3">
        <f t="shared" si="0"/>
        <v>27.560000000000002</v>
      </c>
      <c r="E4" s="3">
        <f t="shared" si="1"/>
        <v>26.741291727140784</v>
      </c>
      <c r="F4" s="6">
        <v>47516</v>
      </c>
      <c r="G4" s="5">
        <v>2570</v>
      </c>
      <c r="H4" s="1"/>
      <c r="I4" s="1"/>
      <c r="J4" s="4"/>
      <c r="K4" s="1"/>
      <c r="L4" s="5"/>
    </row>
    <row r="5" spans="1:12" x14ac:dyDescent="0.2">
      <c r="A5" s="1">
        <v>45747</v>
      </c>
      <c r="B5">
        <v>575.05999999999995</v>
      </c>
      <c r="C5" s="3">
        <v>6.43</v>
      </c>
      <c r="D5" s="3">
        <f t="shared" si="0"/>
        <v>25.580000000000002</v>
      </c>
      <c r="E5" s="3">
        <f t="shared" si="1"/>
        <v>22.48084440969507</v>
      </c>
      <c r="F5" s="6">
        <v>42314</v>
      </c>
      <c r="G5" s="5">
        <v>2590</v>
      </c>
      <c r="H5" s="1"/>
      <c r="I5" s="1"/>
      <c r="J5" s="4"/>
      <c r="K5" s="1"/>
      <c r="L5" s="5"/>
    </row>
    <row r="6" spans="1:12" x14ac:dyDescent="0.2">
      <c r="A6" s="1">
        <v>45657</v>
      </c>
      <c r="B6">
        <v>583.66999999999996</v>
      </c>
      <c r="C6" s="3">
        <v>7.96</v>
      </c>
      <c r="D6" s="3">
        <f t="shared" si="0"/>
        <v>23.86</v>
      </c>
      <c r="E6" s="3">
        <f t="shared" si="1"/>
        <v>24.46227996647108</v>
      </c>
      <c r="F6" s="6">
        <v>48386</v>
      </c>
      <c r="G6" s="5">
        <v>2614</v>
      </c>
      <c r="H6" s="1"/>
      <c r="I6" s="1"/>
      <c r="J6" s="4"/>
      <c r="K6" s="1"/>
      <c r="L6" s="5"/>
    </row>
    <row r="7" spans="1:12" x14ac:dyDescent="0.2">
      <c r="A7" s="1">
        <v>45565</v>
      </c>
      <c r="B7">
        <v>570.17999999999995</v>
      </c>
      <c r="C7" s="3">
        <v>6.03</v>
      </c>
      <c r="D7" s="3">
        <f t="shared" si="0"/>
        <v>21.200000000000003</v>
      </c>
      <c r="E7" s="3">
        <f t="shared" si="1"/>
        <v>26.895283018867918</v>
      </c>
      <c r="F7" s="6">
        <v>40589</v>
      </c>
      <c r="G7" s="5">
        <v>2600</v>
      </c>
      <c r="H7" s="1"/>
      <c r="I7" s="1"/>
      <c r="J7" s="4"/>
      <c r="K7" s="1"/>
      <c r="L7" s="5"/>
    </row>
    <row r="8" spans="1:12" x14ac:dyDescent="0.2">
      <c r="A8" s="1">
        <v>45473</v>
      </c>
      <c r="B8">
        <v>501.75</v>
      </c>
      <c r="C8" s="3">
        <v>5.16</v>
      </c>
      <c r="D8" s="3">
        <f t="shared" si="0"/>
        <v>19.560000000000002</v>
      </c>
      <c r="E8" s="3">
        <f t="shared" si="1"/>
        <v>25.651840490797543</v>
      </c>
      <c r="F8" s="6">
        <v>39071</v>
      </c>
      <c r="G8" s="5">
        <v>2610</v>
      </c>
      <c r="H8" s="1"/>
      <c r="I8" s="1"/>
      <c r="J8" s="4"/>
      <c r="K8" s="1"/>
      <c r="L8" s="5"/>
    </row>
    <row r="9" spans="1:12" x14ac:dyDescent="0.2">
      <c r="A9" s="1">
        <v>45382</v>
      </c>
      <c r="B9">
        <v>482.72</v>
      </c>
      <c r="C9" s="3">
        <v>4.71</v>
      </c>
      <c r="D9" s="3">
        <f t="shared" si="0"/>
        <v>17.38</v>
      </c>
      <c r="E9" s="3">
        <f t="shared" si="1"/>
        <v>27.774453394706562</v>
      </c>
      <c r="F9" s="6">
        <v>36455</v>
      </c>
      <c r="G9" s="5">
        <v>2625</v>
      </c>
      <c r="H9" s="1"/>
      <c r="I9" s="1"/>
      <c r="J9" s="4"/>
      <c r="K9" s="1"/>
      <c r="L9" s="5"/>
    </row>
    <row r="10" spans="1:12" x14ac:dyDescent="0.2">
      <c r="A10" s="1">
        <v>45291</v>
      </c>
      <c r="B10">
        <v>351.51</v>
      </c>
      <c r="C10" s="3">
        <v>5.3</v>
      </c>
      <c r="D10" s="3">
        <f t="shared" si="0"/>
        <v>14.870000000000001</v>
      </c>
      <c r="E10" s="3">
        <f t="shared" si="1"/>
        <v>23.638870208473435</v>
      </c>
      <c r="F10" s="6">
        <v>40112</v>
      </c>
      <c r="G10" s="5">
        <v>2629</v>
      </c>
      <c r="H10" s="1"/>
      <c r="I10" s="1"/>
      <c r="J10" s="4"/>
      <c r="K10" s="1"/>
      <c r="L10" s="5"/>
    </row>
    <row r="11" spans="1:12" x14ac:dyDescent="0.2">
      <c r="A11" s="1">
        <v>45199</v>
      </c>
      <c r="B11">
        <v>298.13</v>
      </c>
      <c r="C11" s="3">
        <v>4.3899999999999997</v>
      </c>
      <c r="D11" s="3">
        <f t="shared" si="0"/>
        <v>11.34</v>
      </c>
      <c r="E11" s="3">
        <f t="shared" si="1"/>
        <v>26.290123456790123</v>
      </c>
      <c r="F11" s="6">
        <v>34146</v>
      </c>
      <c r="G11" s="5">
        <v>2641</v>
      </c>
      <c r="H11" s="1"/>
      <c r="I11" s="1"/>
      <c r="J11" s="4"/>
      <c r="K11" s="1"/>
      <c r="L11" s="5"/>
    </row>
    <row r="12" spans="1:12" x14ac:dyDescent="0.2">
      <c r="A12" s="1">
        <v>45107</v>
      </c>
      <c r="B12">
        <v>284.99</v>
      </c>
      <c r="C12" s="3">
        <v>2.98</v>
      </c>
      <c r="D12" s="3">
        <f t="shared" si="0"/>
        <v>8.59</v>
      </c>
      <c r="E12" s="3">
        <f t="shared" si="1"/>
        <v>33.176949941792785</v>
      </c>
      <c r="F12" s="6">
        <v>31999</v>
      </c>
      <c r="G12" s="5">
        <v>2612</v>
      </c>
      <c r="H12" s="1"/>
      <c r="I12" s="1"/>
      <c r="J12" s="4"/>
      <c r="K12" s="1"/>
      <c r="L12" s="5"/>
    </row>
    <row r="13" spans="1:12" x14ac:dyDescent="0.2">
      <c r="A13" s="1">
        <v>45016</v>
      </c>
      <c r="B13">
        <v>210.47</v>
      </c>
      <c r="C13" s="3">
        <v>2.2000000000000002</v>
      </c>
      <c r="D13" s="3">
        <f t="shared" si="0"/>
        <v>8.07</v>
      </c>
      <c r="E13" s="3">
        <f t="shared" si="1"/>
        <v>26.080545229244112</v>
      </c>
      <c r="F13" s="6">
        <v>28645</v>
      </c>
      <c r="G13" s="5">
        <v>2596</v>
      </c>
      <c r="H13" s="1"/>
      <c r="I13" s="1"/>
      <c r="J13" s="4"/>
      <c r="K13" s="1"/>
      <c r="L13" s="5"/>
    </row>
    <row r="14" spans="1:12" x14ac:dyDescent="0.2">
      <c r="A14" s="1">
        <v>44926</v>
      </c>
      <c r="B14">
        <v>119.51</v>
      </c>
      <c r="C14" s="3">
        <v>1.77</v>
      </c>
      <c r="D14" s="3">
        <f t="shared" si="0"/>
        <v>8.59</v>
      </c>
      <c r="E14" s="3">
        <f t="shared" si="1"/>
        <v>13.91268917345751</v>
      </c>
      <c r="F14" s="6">
        <v>32165</v>
      </c>
      <c r="G14" s="5">
        <v>2702</v>
      </c>
      <c r="H14" s="1"/>
      <c r="I14" s="1"/>
      <c r="J14" s="4"/>
      <c r="K14" s="1"/>
      <c r="L14" s="5"/>
    </row>
    <row r="15" spans="1:12" x14ac:dyDescent="0.2">
      <c r="A15" s="1">
        <v>44834</v>
      </c>
      <c r="B15">
        <v>134.74</v>
      </c>
      <c r="C15" s="3">
        <v>1.64</v>
      </c>
      <c r="D15" s="3">
        <f t="shared" si="0"/>
        <v>10.46</v>
      </c>
      <c r="E15" s="3">
        <f t="shared" si="1"/>
        <v>12.881453154875716</v>
      </c>
      <c r="F15" s="6">
        <v>27714</v>
      </c>
      <c r="G15" s="5">
        <v>2687</v>
      </c>
      <c r="H15" s="1"/>
      <c r="I15" s="1"/>
      <c r="J15" s="4"/>
      <c r="K15" s="1"/>
      <c r="L15" s="5"/>
    </row>
    <row r="16" spans="1:12" x14ac:dyDescent="0.2">
      <c r="A16" s="1">
        <v>44742</v>
      </c>
      <c r="B16">
        <v>160.13</v>
      </c>
      <c r="C16" s="3">
        <v>2.46</v>
      </c>
      <c r="D16" s="3">
        <f t="shared" si="0"/>
        <v>12.040000000000001</v>
      </c>
      <c r="E16" s="3">
        <f t="shared" si="1"/>
        <v>13.299833887043189</v>
      </c>
      <c r="F16" s="6">
        <v>28822</v>
      </c>
      <c r="G16" s="5">
        <v>2713</v>
      </c>
      <c r="H16" s="1"/>
      <c r="I16" s="1"/>
      <c r="J16" s="4"/>
      <c r="K16" s="1"/>
      <c r="L16" s="5"/>
    </row>
    <row r="17" spans="1:12" x14ac:dyDescent="0.2">
      <c r="A17" s="1">
        <v>44651</v>
      </c>
      <c r="B17">
        <v>220.82</v>
      </c>
      <c r="C17" s="3">
        <v>2.72</v>
      </c>
      <c r="D17" s="3">
        <f t="shared" si="0"/>
        <v>13.19</v>
      </c>
      <c r="E17" s="3">
        <f t="shared" si="1"/>
        <v>16.741470811220623</v>
      </c>
      <c r="F17" s="6">
        <v>27908</v>
      </c>
      <c r="G17" s="5">
        <v>2742</v>
      </c>
      <c r="H17" s="1"/>
      <c r="I17" s="1"/>
      <c r="J17" s="4"/>
      <c r="K17" s="1"/>
      <c r="L17" s="5"/>
    </row>
    <row r="18" spans="1:12" x14ac:dyDescent="0.2">
      <c r="A18" s="1">
        <v>44561</v>
      </c>
      <c r="B18">
        <v>334.02</v>
      </c>
      <c r="C18" s="3">
        <v>3.64</v>
      </c>
      <c r="D18" s="3">
        <f t="shared" si="0"/>
        <v>13.77</v>
      </c>
      <c r="E18" s="3">
        <f t="shared" si="1"/>
        <v>24.257080610021784</v>
      </c>
      <c r="F18" s="6">
        <v>33671</v>
      </c>
      <c r="G18" s="5">
        <v>2859</v>
      </c>
      <c r="H18" s="1"/>
      <c r="I18" s="1"/>
      <c r="J18" s="4"/>
      <c r="K18" s="1"/>
      <c r="L18" s="5"/>
    </row>
    <row r="19" spans="1:12" x14ac:dyDescent="0.2">
      <c r="A19" s="1">
        <v>44469</v>
      </c>
      <c r="B19">
        <v>337.04</v>
      </c>
      <c r="C19" s="3">
        <v>3.22</v>
      </c>
      <c r="D19" s="3">
        <f t="shared" si="0"/>
        <v>14</v>
      </c>
      <c r="E19" s="3">
        <f t="shared" si="1"/>
        <v>24.074285714285715</v>
      </c>
      <c r="F19" s="6">
        <v>29010</v>
      </c>
      <c r="G19" s="5">
        <v>2859</v>
      </c>
      <c r="H19" s="1"/>
      <c r="I19" s="1"/>
      <c r="J19" s="4"/>
      <c r="K19" s="1"/>
      <c r="L19" s="5"/>
    </row>
    <row r="20" spans="1:12" x14ac:dyDescent="0.2">
      <c r="A20" s="1">
        <v>44377</v>
      </c>
      <c r="B20">
        <v>345.3</v>
      </c>
      <c r="C20" s="3">
        <v>3.61</v>
      </c>
      <c r="D20" s="3">
        <f t="shared" si="0"/>
        <v>13.490000000000002</v>
      </c>
      <c r="E20" s="3">
        <f t="shared" si="1"/>
        <v>25.596738324684949</v>
      </c>
      <c r="F20" s="6">
        <v>29077</v>
      </c>
      <c r="G20" s="5">
        <v>2877</v>
      </c>
      <c r="H20" s="1"/>
      <c r="I20" s="1"/>
      <c r="J20" s="4"/>
      <c r="K20" s="1"/>
      <c r="L20" s="5"/>
    </row>
    <row r="21" spans="1:12" x14ac:dyDescent="0.2">
      <c r="A21" s="1">
        <v>44286</v>
      </c>
      <c r="B21">
        <v>292.49</v>
      </c>
      <c r="C21" s="3">
        <v>3.3</v>
      </c>
      <c r="D21" s="3">
        <f t="shared" si="0"/>
        <v>11.68</v>
      </c>
      <c r="E21" s="3">
        <f t="shared" si="1"/>
        <v>25.041952054794521</v>
      </c>
      <c r="F21" s="6">
        <v>26171</v>
      </c>
      <c r="G21" s="5">
        <v>2882</v>
      </c>
      <c r="H21" s="1"/>
      <c r="I21" s="1"/>
      <c r="J21" s="4"/>
      <c r="K21" s="1"/>
      <c r="L21" s="5"/>
    </row>
    <row r="22" spans="1:12" x14ac:dyDescent="0.2">
      <c r="A22" s="1">
        <v>44196</v>
      </c>
      <c r="B22">
        <v>271.27</v>
      </c>
      <c r="C22" s="3">
        <v>3.87</v>
      </c>
      <c r="D22" s="3">
        <f t="shared" si="0"/>
        <v>10.09</v>
      </c>
      <c r="E22" s="3">
        <f t="shared" si="1"/>
        <v>26.885034687809711</v>
      </c>
      <c r="F22" s="6">
        <v>28071</v>
      </c>
      <c r="G22" s="5">
        <v>2888</v>
      </c>
      <c r="H22" s="1"/>
      <c r="I22" s="1"/>
      <c r="J22" s="4"/>
      <c r="K22" s="1"/>
      <c r="L22" s="5"/>
    </row>
    <row r="23" spans="1:12" x14ac:dyDescent="0.2">
      <c r="A23" s="1">
        <v>44104</v>
      </c>
      <c r="B23">
        <v>260.08</v>
      </c>
      <c r="C23" s="3">
        <v>2.71</v>
      </c>
      <c r="D23" s="3">
        <f t="shared" si="0"/>
        <v>8.77</v>
      </c>
      <c r="E23" s="3">
        <f t="shared" si="1"/>
        <v>29.655644241733182</v>
      </c>
      <c r="F23" s="6">
        <v>21470</v>
      </c>
      <c r="G23" s="5">
        <v>2891</v>
      </c>
      <c r="H23" s="1"/>
      <c r="I23" s="1"/>
      <c r="J23" s="4"/>
      <c r="K23" s="1"/>
      <c r="L23" s="5"/>
    </row>
    <row r="24" spans="1:12" x14ac:dyDescent="0.2">
      <c r="A24" s="1">
        <v>44012</v>
      </c>
      <c r="B24">
        <v>225.5</v>
      </c>
      <c r="C24" s="3">
        <v>1.8</v>
      </c>
      <c r="D24" s="3">
        <f t="shared" si="0"/>
        <v>8.18</v>
      </c>
      <c r="E24" s="3">
        <f t="shared" si="1"/>
        <v>27.56723716381418</v>
      </c>
      <c r="F24" s="6">
        <v>18687</v>
      </c>
      <c r="G24" s="5">
        <v>2879</v>
      </c>
      <c r="H24" s="1"/>
      <c r="I24" s="1"/>
      <c r="J24" s="4"/>
      <c r="K24" s="1"/>
      <c r="L24" s="5"/>
    </row>
    <row r="25" spans="1:12" x14ac:dyDescent="0.2">
      <c r="A25" s="1">
        <v>43921</v>
      </c>
      <c r="B25">
        <v>165.64</v>
      </c>
      <c r="C25" s="3">
        <v>1.71</v>
      </c>
      <c r="D25" s="3">
        <f t="shared" si="0"/>
        <v>7.29</v>
      </c>
      <c r="E25" s="3">
        <f t="shared" si="1"/>
        <v>22.72153635116598</v>
      </c>
      <c r="F25" s="6">
        <v>17737</v>
      </c>
      <c r="G25" s="5">
        <v>2868</v>
      </c>
      <c r="H25" s="1"/>
      <c r="I25" s="1"/>
      <c r="J25" s="4"/>
      <c r="K25" s="1"/>
      <c r="L25" s="5"/>
    </row>
    <row r="26" spans="1:12" x14ac:dyDescent="0.2">
      <c r="A26" s="1">
        <v>43830</v>
      </c>
      <c r="B26">
        <v>203.83</v>
      </c>
      <c r="C26" s="3">
        <v>2.5499999999999998</v>
      </c>
      <c r="D26" s="3">
        <f t="shared" si="0"/>
        <v>6.43</v>
      </c>
      <c r="E26" s="3">
        <f t="shared" si="1"/>
        <v>31.699844479004668</v>
      </c>
      <c r="F26" s="6">
        <v>21082</v>
      </c>
      <c r="G26" s="5">
        <v>2876</v>
      </c>
      <c r="H26" s="1"/>
      <c r="I26" s="1"/>
      <c r="J26" s="4"/>
      <c r="K26" s="1"/>
      <c r="L26" s="5"/>
    </row>
    <row r="27" spans="1:12" x14ac:dyDescent="0.2">
      <c r="A27" s="1">
        <v>43738</v>
      </c>
      <c r="B27">
        <v>176.85</v>
      </c>
      <c r="C27" s="3">
        <v>2.12</v>
      </c>
      <c r="D27" s="3">
        <f t="shared" si="0"/>
        <v>6.26</v>
      </c>
      <c r="E27" s="3">
        <f t="shared" si="1"/>
        <v>28.250798722044728</v>
      </c>
      <c r="F27" s="6">
        <v>17652</v>
      </c>
      <c r="G27" s="5">
        <v>2874</v>
      </c>
      <c r="H27" s="1"/>
      <c r="I27" s="1"/>
      <c r="J27" s="4"/>
      <c r="K27" s="1"/>
      <c r="L27" s="5"/>
    </row>
    <row r="28" spans="1:12" x14ac:dyDescent="0.2">
      <c r="A28" s="1">
        <v>43646</v>
      </c>
      <c r="B28">
        <v>191.66</v>
      </c>
      <c r="C28" s="3">
        <v>0.91</v>
      </c>
      <c r="D28" s="3">
        <f t="shared" si="0"/>
        <v>5.8999999999999995</v>
      </c>
      <c r="E28" s="3">
        <f t="shared" si="1"/>
        <v>32.484745762711867</v>
      </c>
      <c r="F28" s="6">
        <v>16886</v>
      </c>
      <c r="G28" s="5">
        <v>2875</v>
      </c>
      <c r="H28" s="1"/>
      <c r="I28" s="1"/>
      <c r="J28" s="4"/>
      <c r="K28" s="1"/>
      <c r="L28" s="5"/>
    </row>
    <row r="29" spans="1:12" x14ac:dyDescent="0.2">
      <c r="A29" s="1">
        <v>43555</v>
      </c>
      <c r="B29">
        <v>165.53</v>
      </c>
      <c r="C29" s="3">
        <v>0.85</v>
      </c>
      <c r="D29" s="3">
        <f t="shared" si="0"/>
        <v>6.73</v>
      </c>
      <c r="E29" s="3">
        <f t="shared" si="1"/>
        <v>24.595839524517086</v>
      </c>
      <c r="F29" s="6">
        <v>15077</v>
      </c>
      <c r="G29" s="5">
        <v>2869</v>
      </c>
      <c r="H29" s="1"/>
      <c r="I29" s="1"/>
      <c r="J29" s="4"/>
      <c r="K29" s="1"/>
      <c r="L29" s="5"/>
    </row>
    <row r="30" spans="1:12" x14ac:dyDescent="0.2">
      <c r="A30" s="1">
        <v>43465</v>
      </c>
      <c r="B30">
        <v>130.18</v>
      </c>
      <c r="C30" s="3">
        <v>2.38</v>
      </c>
      <c r="D30" s="3">
        <f t="shared" si="0"/>
        <v>7.57</v>
      </c>
      <c r="E30" s="3">
        <f t="shared" si="1"/>
        <v>17.196829590488772</v>
      </c>
      <c r="F30" s="6">
        <v>16914</v>
      </c>
      <c r="G30" s="5">
        <v>2921</v>
      </c>
      <c r="H30" s="1"/>
      <c r="I30" s="1"/>
      <c r="J30" s="4"/>
      <c r="K30" s="1"/>
      <c r="L30" s="5"/>
    </row>
    <row r="31" spans="1:12" x14ac:dyDescent="0.2">
      <c r="A31" s="1">
        <v>43373</v>
      </c>
      <c r="B31">
        <v>163.32</v>
      </c>
      <c r="C31" s="3">
        <v>1.76</v>
      </c>
      <c r="D31" s="3">
        <f t="shared" si="0"/>
        <v>6.629999999999999</v>
      </c>
      <c r="E31" s="3">
        <f t="shared" si="1"/>
        <v>24.633484162895929</v>
      </c>
      <c r="F31" s="6">
        <v>13727</v>
      </c>
      <c r="G31" s="5">
        <v>2913</v>
      </c>
      <c r="H31" s="1"/>
      <c r="I31" s="1"/>
      <c r="J31" s="4"/>
      <c r="K31" s="1"/>
      <c r="L31" s="5"/>
    </row>
    <row r="32" spans="1:12" x14ac:dyDescent="0.2">
      <c r="A32" s="1">
        <v>43281</v>
      </c>
      <c r="B32">
        <v>192.97</v>
      </c>
      <c r="C32" s="3">
        <v>1.74</v>
      </c>
      <c r="D32" s="3">
        <f t="shared" si="0"/>
        <v>6.4599999999999991</v>
      </c>
      <c r="E32" s="3">
        <f t="shared" si="1"/>
        <v>29.871517027863781</v>
      </c>
      <c r="F32" s="6">
        <v>13231</v>
      </c>
      <c r="G32" s="5">
        <v>2930</v>
      </c>
      <c r="H32" s="1"/>
      <c r="I32" s="1"/>
      <c r="J32" s="4"/>
      <c r="K32" s="1"/>
      <c r="L32" s="5"/>
    </row>
    <row r="33" spans="1:12" x14ac:dyDescent="0.2">
      <c r="A33" s="1">
        <v>43190</v>
      </c>
      <c r="B33">
        <v>158.68</v>
      </c>
      <c r="C33" s="3">
        <v>1.69</v>
      </c>
      <c r="D33" s="3">
        <f t="shared" si="0"/>
        <v>6.04</v>
      </c>
      <c r="E33" s="3">
        <f t="shared" si="1"/>
        <v>26.271523178807946</v>
      </c>
      <c r="F33" s="6">
        <v>11966</v>
      </c>
      <c r="G33" s="5">
        <v>2945</v>
      </c>
      <c r="H33" s="1"/>
      <c r="I33" s="1"/>
      <c r="J33" s="4"/>
      <c r="K33" s="1"/>
      <c r="L33" s="5"/>
    </row>
    <row r="34" spans="1:12" x14ac:dyDescent="0.2">
      <c r="A34" s="1">
        <v>43100</v>
      </c>
      <c r="B34">
        <v>175.24</v>
      </c>
      <c r="C34" s="3">
        <v>1.44</v>
      </c>
      <c r="D34" s="3">
        <f t="shared" si="0"/>
        <v>5.3900000000000006</v>
      </c>
      <c r="E34" s="3">
        <f t="shared" si="1"/>
        <v>32.512059369202227</v>
      </c>
      <c r="F34" s="6">
        <v>12972</v>
      </c>
      <c r="G34" s="5">
        <v>2956</v>
      </c>
      <c r="H34" s="1"/>
      <c r="I34" s="1"/>
      <c r="J34" s="4"/>
      <c r="K34" s="1"/>
      <c r="L34" s="5"/>
    </row>
    <row r="35" spans="1:12" x14ac:dyDescent="0.2">
      <c r="A35" s="1">
        <v>43008</v>
      </c>
      <c r="B35">
        <v>169.69</v>
      </c>
      <c r="C35" s="3">
        <v>1.59</v>
      </c>
      <c r="D35" s="3">
        <f t="shared" si="0"/>
        <v>5.16</v>
      </c>
      <c r="E35" s="3">
        <f t="shared" si="1"/>
        <v>32.88565891472868</v>
      </c>
      <c r="F35" s="6">
        <v>10328</v>
      </c>
      <c r="G35" s="5">
        <v>2956</v>
      </c>
      <c r="H35" s="1"/>
      <c r="I35" s="1"/>
      <c r="J35" s="4"/>
      <c r="K35" s="1"/>
      <c r="L35" s="5"/>
    </row>
    <row r="36" spans="1:12" x14ac:dyDescent="0.2">
      <c r="A36" s="1">
        <v>42916</v>
      </c>
      <c r="B36">
        <v>149.93</v>
      </c>
      <c r="C36" s="3">
        <v>1.32</v>
      </c>
      <c r="D36" s="3">
        <f t="shared" si="0"/>
        <v>4.4700000000000006</v>
      </c>
      <c r="E36" s="3">
        <f t="shared" si="1"/>
        <v>33.541387024608497</v>
      </c>
      <c r="F36" s="6">
        <v>9321</v>
      </c>
      <c r="G36" s="5">
        <v>2951</v>
      </c>
      <c r="H36" s="1"/>
      <c r="I36" s="1"/>
      <c r="J36" s="4"/>
      <c r="K36" s="1"/>
      <c r="L36" s="5"/>
    </row>
    <row r="37" spans="1:12" x14ac:dyDescent="0.2">
      <c r="A37" s="1">
        <v>42825</v>
      </c>
      <c r="B37">
        <v>141.07</v>
      </c>
      <c r="C37" s="3">
        <v>1.04</v>
      </c>
      <c r="D37" s="3">
        <f t="shared" si="0"/>
        <v>3.9299999999999997</v>
      </c>
      <c r="E37" s="3">
        <f t="shared" si="1"/>
        <v>35.895674300254456</v>
      </c>
      <c r="F37" s="6">
        <v>8032</v>
      </c>
      <c r="G37" s="5">
        <v>2944</v>
      </c>
      <c r="H37" s="1"/>
      <c r="I37" s="1"/>
      <c r="J37" s="4"/>
      <c r="K37" s="1"/>
      <c r="L37" s="5"/>
    </row>
    <row r="38" spans="1:12" x14ac:dyDescent="0.2">
      <c r="A38" s="1">
        <v>42735</v>
      </c>
      <c r="B38">
        <v>114.25</v>
      </c>
      <c r="C38" s="3">
        <v>1.21</v>
      </c>
      <c r="D38" s="3">
        <f t="shared" si="0"/>
        <v>3.4899999999999998</v>
      </c>
      <c r="E38" s="3">
        <f t="shared" si="1"/>
        <v>32.736389684813759</v>
      </c>
      <c r="F38" s="6">
        <v>8809</v>
      </c>
      <c r="G38" s="5">
        <v>2925</v>
      </c>
      <c r="H38" s="1"/>
      <c r="I38" s="1"/>
      <c r="J38" s="4"/>
      <c r="K38" s="1"/>
      <c r="L38" s="5"/>
    </row>
    <row r="39" spans="1:12" x14ac:dyDescent="0.2">
      <c r="A39" s="1">
        <v>42643</v>
      </c>
      <c r="B39">
        <v>127.38</v>
      </c>
      <c r="C39" s="3">
        <v>0.9</v>
      </c>
      <c r="D39" s="3">
        <f t="shared" si="0"/>
        <v>2.83</v>
      </c>
      <c r="E39" s="3">
        <f t="shared" si="1"/>
        <v>45.010600706713781</v>
      </c>
      <c r="F39" s="6">
        <v>7011</v>
      </c>
      <c r="G39" s="5">
        <v>2931</v>
      </c>
      <c r="H39" s="1"/>
      <c r="I39" s="1"/>
      <c r="J39" s="4"/>
      <c r="K39" s="1"/>
      <c r="L39" s="5"/>
    </row>
    <row r="40" spans="1:12" x14ac:dyDescent="0.2">
      <c r="A40" s="1">
        <v>42551</v>
      </c>
      <c r="B40">
        <v>113.49</v>
      </c>
      <c r="C40" s="3">
        <v>0.78</v>
      </c>
      <c r="D40" s="3">
        <f t="shared" si="0"/>
        <v>2.2399999999999998</v>
      </c>
      <c r="E40" s="3">
        <f t="shared" si="1"/>
        <v>50.665178571428577</v>
      </c>
      <c r="F40" s="6">
        <v>6436</v>
      </c>
      <c r="G40" s="5">
        <v>2921</v>
      </c>
      <c r="H40" s="1"/>
      <c r="I40" s="1"/>
      <c r="J40" s="4"/>
      <c r="K40" s="1"/>
      <c r="L40" s="5"/>
    </row>
    <row r="41" spans="1:12" x14ac:dyDescent="0.2">
      <c r="A41" s="1">
        <v>42460</v>
      </c>
      <c r="B41">
        <v>113.31</v>
      </c>
      <c r="C41" s="3">
        <v>0.6</v>
      </c>
      <c r="D41" s="3">
        <f t="shared" si="0"/>
        <v>1.71</v>
      </c>
      <c r="E41" s="3">
        <f t="shared" si="1"/>
        <v>66.26315789473685</v>
      </c>
      <c r="F41" s="6">
        <v>5382</v>
      </c>
      <c r="G41" s="5">
        <v>2905</v>
      </c>
      <c r="H41" s="1"/>
      <c r="I41" s="1"/>
      <c r="J41" s="4"/>
      <c r="K41" s="1"/>
      <c r="L41" s="5"/>
    </row>
    <row r="42" spans="1:12" x14ac:dyDescent="0.2">
      <c r="A42" s="1">
        <v>42369</v>
      </c>
      <c r="B42">
        <v>103.93</v>
      </c>
      <c r="C42" s="3">
        <v>0.55000000000000004</v>
      </c>
      <c r="D42" s="3">
        <f t="shared" si="0"/>
        <v>1.29</v>
      </c>
      <c r="E42" s="3">
        <f t="shared" si="1"/>
        <v>80.565891472868216</v>
      </c>
      <c r="F42" s="6">
        <v>5842</v>
      </c>
      <c r="G42" s="5">
        <v>2853</v>
      </c>
      <c r="H42" s="1"/>
      <c r="I42" s="1"/>
      <c r="J42" s="4"/>
      <c r="K42" s="1"/>
      <c r="L42" s="5"/>
    </row>
    <row r="43" spans="1:12" x14ac:dyDescent="0.2">
      <c r="A43" s="1">
        <v>42277</v>
      </c>
      <c r="B43">
        <v>89.28</v>
      </c>
      <c r="C43" s="3">
        <v>0.31</v>
      </c>
      <c r="D43" s="3">
        <f t="shared" si="0"/>
        <v>0.99</v>
      </c>
      <c r="E43" s="3">
        <f t="shared" si="1"/>
        <v>90.181818181818187</v>
      </c>
      <c r="F43" s="6">
        <v>4501</v>
      </c>
      <c r="G43" s="5">
        <v>2863</v>
      </c>
      <c r="H43" s="1"/>
      <c r="I43" s="1"/>
      <c r="J43" s="4"/>
      <c r="K43" s="1"/>
      <c r="L43" s="5"/>
    </row>
    <row r="44" spans="1:12" x14ac:dyDescent="0.2">
      <c r="A44" s="1">
        <v>42185</v>
      </c>
      <c r="B44">
        <v>85.17</v>
      </c>
      <c r="C44" s="3">
        <v>0.25</v>
      </c>
      <c r="D44" s="3">
        <f t="shared" si="0"/>
        <v>0.98</v>
      </c>
      <c r="E44" s="3">
        <f t="shared" si="1"/>
        <v>86.908163265306129</v>
      </c>
      <c r="F44" s="6">
        <v>4042</v>
      </c>
      <c r="G44" s="5">
        <v>2850</v>
      </c>
      <c r="H44" s="1"/>
      <c r="I44" s="1"/>
      <c r="J44" s="4"/>
      <c r="K44" s="1"/>
      <c r="L44" s="5"/>
    </row>
    <row r="45" spans="1:12" x14ac:dyDescent="0.2">
      <c r="A45" s="1">
        <v>42094</v>
      </c>
      <c r="B45">
        <v>81.64</v>
      </c>
      <c r="C45" s="3">
        <v>0.18</v>
      </c>
      <c r="D45" s="3">
        <f t="shared" si="0"/>
        <v>1.03</v>
      </c>
      <c r="E45" s="3">
        <f t="shared" si="1"/>
        <v>79.262135922330089</v>
      </c>
      <c r="F45" s="6">
        <v>3543</v>
      </c>
      <c r="G45" s="5">
        <v>2836</v>
      </c>
      <c r="H45" s="1"/>
      <c r="I45" s="1"/>
      <c r="J45" s="4"/>
      <c r="K45" s="1"/>
      <c r="L45" s="5"/>
    </row>
    <row r="46" spans="1:12" x14ac:dyDescent="0.2">
      <c r="A46" s="1">
        <v>42004</v>
      </c>
      <c r="B46">
        <v>77.48</v>
      </c>
      <c r="C46" s="3">
        <v>0.25</v>
      </c>
      <c r="D46" s="3">
        <f t="shared" si="0"/>
        <v>1.1000000000000001</v>
      </c>
      <c r="E46" s="3">
        <f t="shared" si="1"/>
        <v>70.436363636363637</v>
      </c>
      <c r="F46" s="6">
        <v>3851</v>
      </c>
      <c r="G46" s="5">
        <v>2664</v>
      </c>
      <c r="H46" s="1"/>
      <c r="I46" s="1"/>
      <c r="J46" s="4"/>
      <c r="K46" s="1"/>
      <c r="L46" s="5"/>
    </row>
    <row r="47" spans="1:12" x14ac:dyDescent="0.2">
      <c r="A47" s="1">
        <v>41912</v>
      </c>
      <c r="B47">
        <v>78.489999999999995</v>
      </c>
      <c r="C47" s="3">
        <v>0.3</v>
      </c>
      <c r="D47" s="3">
        <f t="shared" si="0"/>
        <v>1.06</v>
      </c>
      <c r="E47" s="3">
        <f t="shared" si="1"/>
        <v>74.047169811320742</v>
      </c>
      <c r="F47" s="6">
        <v>3203</v>
      </c>
      <c r="G47" s="5">
        <v>2644</v>
      </c>
      <c r="H47" s="1"/>
      <c r="I47" s="1"/>
      <c r="J47" s="4"/>
      <c r="K47" s="1"/>
      <c r="L47" s="5"/>
    </row>
    <row r="48" spans="1:12" x14ac:dyDescent="0.2">
      <c r="A48" s="1">
        <v>41820</v>
      </c>
      <c r="B48">
        <v>66.819999999999993</v>
      </c>
      <c r="C48" s="3">
        <v>0.3</v>
      </c>
      <c r="D48" s="3">
        <f t="shared" si="0"/>
        <v>0.93</v>
      </c>
      <c r="E48" s="3">
        <f t="shared" si="1"/>
        <v>71.849462365591393</v>
      </c>
      <c r="F48" s="6">
        <v>2910</v>
      </c>
      <c r="G48" s="5">
        <v>2615</v>
      </c>
      <c r="H48" s="1"/>
      <c r="I48" s="1"/>
      <c r="J48" s="4"/>
      <c r="K48" s="1"/>
      <c r="L48" s="5"/>
    </row>
    <row r="49" spans="1:12" x14ac:dyDescent="0.2">
      <c r="A49" s="1">
        <v>41729</v>
      </c>
      <c r="B49">
        <v>59.82</v>
      </c>
      <c r="C49" s="3">
        <v>0.25</v>
      </c>
      <c r="D49" s="3">
        <f t="shared" si="0"/>
        <v>0.76</v>
      </c>
      <c r="E49" s="3">
        <f t="shared" si="1"/>
        <v>78.71052631578948</v>
      </c>
      <c r="F49" s="6">
        <v>2502</v>
      </c>
      <c r="G49" s="5">
        <v>2609</v>
      </c>
      <c r="H49" s="1"/>
      <c r="I49" s="1"/>
      <c r="J49" s="4"/>
      <c r="K49" s="1"/>
      <c r="L49" s="5"/>
    </row>
    <row r="50" spans="1:12" x14ac:dyDescent="0.2">
      <c r="A50" s="1">
        <v>41639</v>
      </c>
      <c r="B50">
        <v>54.27</v>
      </c>
      <c r="C50" s="3">
        <v>0.21</v>
      </c>
      <c r="D50" s="3">
        <f t="shared" si="0"/>
        <v>0.6</v>
      </c>
      <c r="E50" s="3">
        <f t="shared" si="1"/>
        <v>90.45</v>
      </c>
      <c r="F50" s="6">
        <v>2585</v>
      </c>
      <c r="G50" s="5">
        <v>2517</v>
      </c>
      <c r="H50" s="1"/>
      <c r="I50" s="1"/>
      <c r="J50" s="4"/>
      <c r="K50" s="1"/>
      <c r="L50" s="5"/>
    </row>
    <row r="51" spans="1:12" x14ac:dyDescent="0.2">
      <c r="A51" s="1">
        <v>41547</v>
      </c>
      <c r="B51">
        <v>49.88</v>
      </c>
      <c r="C51" s="3">
        <v>0.17</v>
      </c>
      <c r="D51" s="3">
        <f t="shared" si="0"/>
        <v>0.42000000000000004</v>
      </c>
      <c r="E51" s="3">
        <f t="shared" si="1"/>
        <v>118.76190476190476</v>
      </c>
      <c r="F51" s="6">
        <v>2016</v>
      </c>
      <c r="G51" s="5">
        <v>2528</v>
      </c>
      <c r="H51" s="1"/>
      <c r="I51" s="1"/>
      <c r="J51" s="4"/>
      <c r="K51" s="1"/>
      <c r="L51" s="5"/>
    </row>
    <row r="52" spans="1:12" x14ac:dyDescent="0.2">
      <c r="A52" s="1">
        <v>41455</v>
      </c>
      <c r="B52">
        <v>24.71</v>
      </c>
      <c r="C52" s="3">
        <v>0.13</v>
      </c>
      <c r="D52" s="3">
        <f t="shared" si="0"/>
        <v>0.23</v>
      </c>
      <c r="E52" s="3">
        <f t="shared" si="1"/>
        <v>107.43478260869566</v>
      </c>
      <c r="F52" s="6">
        <v>1813</v>
      </c>
      <c r="G52" s="5">
        <v>2502</v>
      </c>
      <c r="H52" s="1"/>
      <c r="I52" s="1"/>
      <c r="J52" s="4"/>
      <c r="K52" s="1"/>
      <c r="L52" s="5"/>
    </row>
    <row r="53" spans="1:12" x14ac:dyDescent="0.2">
      <c r="A53" s="1">
        <v>41364</v>
      </c>
      <c r="B53">
        <v>25.4</v>
      </c>
      <c r="C53" s="3">
        <v>0.09</v>
      </c>
      <c r="D53" s="3">
        <f t="shared" si="0"/>
        <v>1.999999999999999E-2</v>
      </c>
      <c r="E53" s="3">
        <f t="shared" si="1"/>
        <v>1270.0000000000005</v>
      </c>
      <c r="F53" s="6">
        <v>1458</v>
      </c>
      <c r="G53" s="5">
        <v>2499</v>
      </c>
      <c r="H53" s="1"/>
      <c r="I53" s="1"/>
      <c r="J53" s="4"/>
      <c r="K53" s="1"/>
      <c r="L53" s="5"/>
    </row>
    <row r="54" spans="1:12" x14ac:dyDescent="0.2">
      <c r="A54" s="1">
        <v>41274</v>
      </c>
      <c r="C54" s="3">
        <v>0.03</v>
      </c>
      <c r="D54" s="3"/>
      <c r="E54" s="3"/>
      <c r="F54" s="6">
        <v>1585</v>
      </c>
      <c r="G54" s="5">
        <v>2506</v>
      </c>
      <c r="H54" s="1"/>
      <c r="I54" s="1"/>
      <c r="J54" s="4"/>
      <c r="K54" s="1"/>
      <c r="L54" s="5"/>
    </row>
    <row r="55" spans="1:12" x14ac:dyDescent="0.2">
      <c r="A55" s="1">
        <v>41182</v>
      </c>
      <c r="C55" s="3">
        <v>-0.02</v>
      </c>
      <c r="D55" s="3"/>
      <c r="E55" s="3"/>
      <c r="F55" s="6">
        <v>1262</v>
      </c>
      <c r="G55" s="5">
        <v>2420</v>
      </c>
      <c r="H55" s="1"/>
      <c r="I55" s="1"/>
      <c r="J55" s="4"/>
      <c r="K55" s="1"/>
      <c r="L55" s="5"/>
    </row>
    <row r="56" spans="1:12" x14ac:dyDescent="0.2">
      <c r="A56" s="1">
        <v>41090</v>
      </c>
      <c r="C56" s="3">
        <v>-0.08</v>
      </c>
      <c r="D56" s="3"/>
      <c r="E56" s="3"/>
      <c r="F56" s="6">
        <v>1184</v>
      </c>
      <c r="G56" s="5">
        <v>1879</v>
      </c>
      <c r="H56" s="1"/>
      <c r="I56" s="1"/>
      <c r="J56" s="4"/>
      <c r="K56" s="1"/>
      <c r="L56" s="5"/>
    </row>
    <row r="57" spans="1:12" x14ac:dyDescent="0.2">
      <c r="A57" s="1">
        <v>40999</v>
      </c>
      <c r="C57" s="3">
        <v>0.09</v>
      </c>
      <c r="D57" s="3"/>
      <c r="E57" s="3"/>
      <c r="F57" s="6">
        <v>1058</v>
      </c>
      <c r="G57" s="5">
        <v>1527</v>
      </c>
      <c r="H57" s="1"/>
      <c r="I57" s="1"/>
      <c r="J57" s="4"/>
      <c r="K57" s="1"/>
      <c r="L57" s="5"/>
    </row>
    <row r="58" spans="1:12" x14ac:dyDescent="0.2">
      <c r="A58" s="1">
        <v>40908</v>
      </c>
      <c r="C58" s="3">
        <v>0.14000000000000001</v>
      </c>
      <c r="D58" s="3"/>
      <c r="E58" s="3"/>
      <c r="F58" s="6">
        <v>1131</v>
      </c>
      <c r="G58" s="5">
        <v>1519</v>
      </c>
      <c r="H58" s="1"/>
      <c r="I58" s="1"/>
      <c r="J58" s="4"/>
      <c r="K58" s="1"/>
      <c r="L58" s="5"/>
    </row>
    <row r="59" spans="1:12" x14ac:dyDescent="0.2">
      <c r="A59" s="1">
        <v>40816</v>
      </c>
      <c r="C59" s="3">
        <v>0.1</v>
      </c>
      <c r="D59" s="3"/>
      <c r="E59" s="3"/>
      <c r="F59" s="6">
        <v>954</v>
      </c>
      <c r="G59" s="5">
        <v>1520</v>
      </c>
      <c r="H59" s="1"/>
      <c r="I59" s="1"/>
      <c r="J59" s="4"/>
      <c r="K59" s="1"/>
      <c r="L59" s="5"/>
    </row>
    <row r="60" spans="1:12" x14ac:dyDescent="0.2">
      <c r="A60" s="1">
        <v>40724</v>
      </c>
      <c r="C60" s="3">
        <v>0.11</v>
      </c>
      <c r="D60" s="3"/>
      <c r="E60" s="3"/>
      <c r="F60" s="6">
        <v>895</v>
      </c>
      <c r="G60" s="5">
        <v>1510</v>
      </c>
      <c r="H60" s="1"/>
      <c r="I60" s="1"/>
      <c r="J60" s="4"/>
      <c r="K60" s="1"/>
      <c r="L60" s="5"/>
    </row>
    <row r="61" spans="1:12" x14ac:dyDescent="0.2">
      <c r="A61" s="1">
        <v>40633</v>
      </c>
      <c r="C61" s="3">
        <v>0.11</v>
      </c>
      <c r="D61" s="3"/>
      <c r="E61" s="3"/>
      <c r="F61" s="6">
        <v>731</v>
      </c>
      <c r="G61" s="5">
        <v>2878</v>
      </c>
      <c r="H61" s="1"/>
      <c r="I61" s="1"/>
      <c r="J61" s="4"/>
      <c r="K61" s="1"/>
      <c r="L6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13BC-3E43-F94A-A51B-57FDFE3791FD}">
  <dimension ref="A1:H63"/>
  <sheetViews>
    <sheetView showGridLines="0" workbookViewId="0">
      <pane ySplit="1" topLeftCell="A25" activePane="bottomLeft" state="frozen"/>
      <selection pane="bottomLeft" activeCell="A2" sqref="A2:G60"/>
    </sheetView>
  </sheetViews>
  <sheetFormatPr baseColWidth="10" defaultRowHeight="16" x14ac:dyDescent="0.2"/>
  <sheetData>
    <row r="1" spans="1:8" x14ac:dyDescent="0.2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10</v>
      </c>
      <c r="G1" t="s">
        <v>15</v>
      </c>
    </row>
    <row r="2" spans="1:8" x14ac:dyDescent="0.2">
      <c r="A2" s="1">
        <v>45961</v>
      </c>
      <c r="B2">
        <v>368.92</v>
      </c>
      <c r="C2" s="3">
        <v>1.75</v>
      </c>
      <c r="D2" s="3">
        <f>SUM(C2:C5)</f>
        <v>4.7699999999999996</v>
      </c>
      <c r="E2" s="3">
        <f>IFERROR(B2/D2,"")</f>
        <v>77.341719077568143</v>
      </c>
      <c r="F2" s="6">
        <v>18015</v>
      </c>
      <c r="G2" s="5">
        <v>4853</v>
      </c>
      <c r="H2" s="1"/>
    </row>
    <row r="3" spans="1:8" x14ac:dyDescent="0.2">
      <c r="A3" s="1">
        <v>45869</v>
      </c>
      <c r="B3">
        <v>292.64</v>
      </c>
      <c r="C3" s="3">
        <v>0.85</v>
      </c>
      <c r="D3" s="3">
        <f t="shared" ref="D3:D57" si="0">SUM(C3:C6)</f>
        <v>3.9299999999999997</v>
      </c>
      <c r="E3" s="3">
        <f t="shared" ref="E3:E57" si="1">IFERROR(B3/D3,"")</f>
        <v>74.463104325699746</v>
      </c>
      <c r="F3" s="6">
        <v>15952</v>
      </c>
      <c r="G3" s="5">
        <v>4860</v>
      </c>
      <c r="H3" s="1"/>
    </row>
    <row r="4" spans="1:8" x14ac:dyDescent="0.2">
      <c r="A4" s="1">
        <v>45777</v>
      </c>
      <c r="B4">
        <v>191.32</v>
      </c>
      <c r="C4" s="3">
        <v>1.03</v>
      </c>
      <c r="D4" s="3">
        <f t="shared" si="0"/>
        <v>2.68</v>
      </c>
      <c r="E4" s="3">
        <f t="shared" si="1"/>
        <v>71.388059701492537</v>
      </c>
      <c r="F4" s="6">
        <v>15004</v>
      </c>
      <c r="G4" s="5">
        <v>4826</v>
      </c>
      <c r="H4" s="1"/>
    </row>
    <row r="5" spans="1:8" x14ac:dyDescent="0.2">
      <c r="A5" s="1">
        <v>45688</v>
      </c>
      <c r="B5">
        <v>219.29</v>
      </c>
      <c r="C5" s="3">
        <v>1.1399999999999999</v>
      </c>
      <c r="D5" s="3">
        <f t="shared" si="0"/>
        <v>2.09</v>
      </c>
      <c r="E5" s="3">
        <f t="shared" si="1"/>
        <v>104.92344497607655</v>
      </c>
      <c r="F5" s="6">
        <v>14916</v>
      </c>
      <c r="G5" s="5">
        <v>4836</v>
      </c>
      <c r="H5" s="1"/>
    </row>
    <row r="6" spans="1:8" x14ac:dyDescent="0.2">
      <c r="A6" s="1">
        <v>45596</v>
      </c>
      <c r="B6">
        <v>167.8</v>
      </c>
      <c r="C6" s="3">
        <v>0.91</v>
      </c>
      <c r="D6" s="3">
        <f t="shared" si="0"/>
        <v>1.23</v>
      </c>
      <c r="E6" s="3">
        <f t="shared" si="1"/>
        <v>136.42276422764229</v>
      </c>
      <c r="F6" s="6">
        <v>14054</v>
      </c>
      <c r="G6" s="5">
        <v>4778</v>
      </c>
      <c r="H6" s="1"/>
    </row>
    <row r="7" spans="1:8" x14ac:dyDescent="0.2">
      <c r="A7" s="1">
        <v>45504</v>
      </c>
      <c r="B7">
        <v>158.29</v>
      </c>
      <c r="C7" s="3">
        <v>-0.4</v>
      </c>
      <c r="D7" s="3">
        <f t="shared" si="0"/>
        <v>1.1599999999999999</v>
      </c>
      <c r="E7" s="3">
        <f t="shared" si="1"/>
        <v>136.45689655172413</v>
      </c>
      <c r="F7" s="6">
        <v>13072</v>
      </c>
      <c r="G7" s="5">
        <v>4663</v>
      </c>
      <c r="H7" s="1"/>
    </row>
    <row r="8" spans="1:8" x14ac:dyDescent="0.2">
      <c r="A8" s="1">
        <v>45412</v>
      </c>
      <c r="B8">
        <v>127.69</v>
      </c>
      <c r="C8" s="3">
        <v>0.44</v>
      </c>
      <c r="D8" s="3">
        <f t="shared" si="0"/>
        <v>2.33</v>
      </c>
      <c r="E8" s="3">
        <f t="shared" si="1"/>
        <v>54.802575107296136</v>
      </c>
      <c r="F8" s="6">
        <v>12487</v>
      </c>
      <c r="G8" s="5">
        <v>4799</v>
      </c>
      <c r="H8" s="1"/>
    </row>
    <row r="9" spans="1:8" x14ac:dyDescent="0.2">
      <c r="A9" s="1">
        <v>45322</v>
      </c>
      <c r="B9">
        <v>115.39</v>
      </c>
      <c r="C9" s="3">
        <v>0.28000000000000003</v>
      </c>
      <c r="D9" s="3">
        <f t="shared" si="0"/>
        <v>2.71</v>
      </c>
      <c r="E9" s="3">
        <f t="shared" si="1"/>
        <v>42.579335793357934</v>
      </c>
      <c r="F9" s="6">
        <v>11961</v>
      </c>
      <c r="G9" s="5">
        <v>4666</v>
      </c>
      <c r="H9" s="1"/>
    </row>
    <row r="10" spans="1:8" x14ac:dyDescent="0.2">
      <c r="A10" s="1">
        <v>45230</v>
      </c>
      <c r="B10">
        <v>81.900000000000006</v>
      </c>
      <c r="C10" s="3">
        <v>0.84</v>
      </c>
      <c r="D10" s="3">
        <f t="shared" si="0"/>
        <v>3.3099999999999996</v>
      </c>
      <c r="E10" s="3">
        <f t="shared" si="1"/>
        <v>24.743202416918432</v>
      </c>
      <c r="F10" s="6">
        <v>9295</v>
      </c>
      <c r="G10" s="5">
        <v>4272</v>
      </c>
      <c r="H10" s="1"/>
    </row>
    <row r="11" spans="1:8" x14ac:dyDescent="0.2">
      <c r="A11" s="1">
        <v>45138</v>
      </c>
      <c r="B11">
        <v>87</v>
      </c>
      <c r="C11" s="3">
        <v>0.77</v>
      </c>
      <c r="D11" s="3">
        <f t="shared" si="0"/>
        <v>3.25</v>
      </c>
      <c r="E11" s="3">
        <f t="shared" si="1"/>
        <v>26.76923076923077</v>
      </c>
      <c r="F11" s="6">
        <v>8876</v>
      </c>
      <c r="G11" s="5">
        <v>4269</v>
      </c>
      <c r="H11" s="1"/>
    </row>
    <row r="12" spans="1:8" x14ac:dyDescent="0.2">
      <c r="A12" s="1">
        <v>45046</v>
      </c>
      <c r="B12">
        <v>60.33</v>
      </c>
      <c r="C12" s="3">
        <v>0.82</v>
      </c>
      <c r="D12" s="3">
        <f t="shared" si="0"/>
        <v>3.2</v>
      </c>
      <c r="E12" s="3">
        <f t="shared" si="1"/>
        <v>18.853124999999999</v>
      </c>
      <c r="F12" s="6">
        <v>8733</v>
      </c>
      <c r="G12" s="5">
        <v>4270</v>
      </c>
      <c r="H12" s="1"/>
    </row>
    <row r="13" spans="1:8" x14ac:dyDescent="0.2">
      <c r="A13" s="1">
        <v>44957</v>
      </c>
      <c r="B13">
        <v>55.93</v>
      </c>
      <c r="C13" s="3">
        <v>0.88</v>
      </c>
      <c r="D13" s="3">
        <f t="shared" si="0"/>
        <v>2.9699999999999998</v>
      </c>
      <c r="E13" s="3">
        <f t="shared" si="1"/>
        <v>18.831649831649834</v>
      </c>
      <c r="F13" s="6">
        <v>8915</v>
      </c>
      <c r="G13" s="5">
        <v>4290</v>
      </c>
      <c r="H13" s="1"/>
    </row>
    <row r="14" spans="1:8" x14ac:dyDescent="0.2">
      <c r="A14" s="1">
        <v>44865</v>
      </c>
      <c r="B14">
        <v>44.58</v>
      </c>
      <c r="C14" s="3">
        <v>0.78</v>
      </c>
      <c r="D14" s="3">
        <f t="shared" si="0"/>
        <v>2.65</v>
      </c>
      <c r="E14" s="3">
        <f t="shared" si="1"/>
        <v>16.822641509433961</v>
      </c>
      <c r="F14" s="6">
        <v>8930</v>
      </c>
      <c r="G14" s="5">
        <v>4232</v>
      </c>
      <c r="H14" s="1"/>
    </row>
    <row r="15" spans="1:8" x14ac:dyDescent="0.2">
      <c r="A15" s="1">
        <v>44773</v>
      </c>
      <c r="B15">
        <v>50.35</v>
      </c>
      <c r="C15" s="3">
        <v>0.72</v>
      </c>
      <c r="D15" s="3">
        <f t="shared" si="0"/>
        <v>2.3200000000000003</v>
      </c>
      <c r="E15" s="3">
        <f t="shared" si="1"/>
        <v>21.702586206896548</v>
      </c>
      <c r="F15" s="6">
        <v>8464</v>
      </c>
      <c r="G15" s="5">
        <v>4300</v>
      </c>
      <c r="H15" s="1"/>
    </row>
    <row r="16" spans="1:8" x14ac:dyDescent="0.2">
      <c r="A16" s="1">
        <v>44681</v>
      </c>
      <c r="B16">
        <v>51.71</v>
      </c>
      <c r="C16" s="3">
        <v>0.59</v>
      </c>
      <c r="D16" s="3">
        <f t="shared" si="0"/>
        <v>2.02</v>
      </c>
      <c r="E16" s="3">
        <f t="shared" si="1"/>
        <v>25.599009900990101</v>
      </c>
      <c r="F16" s="6">
        <v>8103</v>
      </c>
      <c r="G16" s="5">
        <v>4240</v>
      </c>
      <c r="H16" s="1"/>
    </row>
    <row r="17" spans="1:8" x14ac:dyDescent="0.2">
      <c r="A17" s="1">
        <v>44592</v>
      </c>
      <c r="B17">
        <v>54.28</v>
      </c>
      <c r="C17" s="3">
        <v>0.56000000000000005</v>
      </c>
      <c r="D17" s="3">
        <f t="shared" si="0"/>
        <v>1.76</v>
      </c>
      <c r="E17" s="3">
        <f t="shared" si="1"/>
        <v>30.84090909090909</v>
      </c>
      <c r="F17" s="6">
        <v>7706</v>
      </c>
      <c r="G17" s="5">
        <v>4290</v>
      </c>
      <c r="H17" s="1"/>
    </row>
    <row r="18" spans="1:8" x14ac:dyDescent="0.2">
      <c r="A18" s="1">
        <v>44500</v>
      </c>
      <c r="B18">
        <v>48.94</v>
      </c>
      <c r="C18" s="3">
        <v>0.45</v>
      </c>
      <c r="D18" s="3">
        <f t="shared" si="0"/>
        <v>1.51</v>
      </c>
      <c r="E18" s="3">
        <f t="shared" si="1"/>
        <v>32.410596026490062</v>
      </c>
      <c r="F18" s="6">
        <v>7407</v>
      </c>
      <c r="G18" s="5">
        <v>4290</v>
      </c>
      <c r="H18" s="1"/>
    </row>
    <row r="19" spans="1:8" x14ac:dyDescent="0.2">
      <c r="A19" s="1">
        <v>44408</v>
      </c>
      <c r="B19">
        <v>44.36</v>
      </c>
      <c r="C19" s="3">
        <v>0.42</v>
      </c>
      <c r="D19" s="3">
        <f t="shared" si="0"/>
        <v>1.36</v>
      </c>
      <c r="E19" s="3">
        <f t="shared" si="1"/>
        <v>32.617647058823529</v>
      </c>
      <c r="F19" s="6">
        <v>6778</v>
      </c>
      <c r="G19" s="5">
        <v>4290</v>
      </c>
      <c r="H19" s="1"/>
    </row>
    <row r="20" spans="1:8" x14ac:dyDescent="0.2">
      <c r="A20" s="1">
        <v>44316</v>
      </c>
      <c r="B20">
        <v>41.36</v>
      </c>
      <c r="C20" s="3">
        <v>0.33</v>
      </c>
      <c r="D20" s="3">
        <f t="shared" si="0"/>
        <v>1.0899999999999999</v>
      </c>
      <c r="E20" s="3">
        <f t="shared" si="1"/>
        <v>37.944954128440372</v>
      </c>
      <c r="F20" s="6">
        <v>6610</v>
      </c>
      <c r="G20" s="5">
        <v>4290</v>
      </c>
      <c r="H20" s="1"/>
    </row>
    <row r="21" spans="1:8" x14ac:dyDescent="0.2">
      <c r="A21" s="1">
        <v>44227</v>
      </c>
      <c r="B21">
        <v>40.53</v>
      </c>
      <c r="C21" s="3">
        <v>0.31</v>
      </c>
      <c r="D21" s="3">
        <f t="shared" si="0"/>
        <v>0.88</v>
      </c>
      <c r="E21" s="3">
        <f t="shared" si="1"/>
        <v>46.05681818181818</v>
      </c>
      <c r="F21" s="6">
        <v>6655</v>
      </c>
      <c r="G21" s="5">
        <v>4280</v>
      </c>
      <c r="H21" s="1"/>
    </row>
    <row r="22" spans="1:8" x14ac:dyDescent="0.2">
      <c r="A22" s="1">
        <v>44135</v>
      </c>
      <c r="B22">
        <v>31.19</v>
      </c>
      <c r="C22" s="3">
        <v>0.3</v>
      </c>
      <c r="D22" s="3">
        <f t="shared" si="0"/>
        <v>0.6399999999999999</v>
      </c>
      <c r="E22" s="3">
        <f t="shared" si="1"/>
        <v>48.734375000000007</v>
      </c>
      <c r="F22" s="6">
        <v>6467</v>
      </c>
      <c r="G22" s="5">
        <v>4210</v>
      </c>
      <c r="H22" s="1"/>
    </row>
    <row r="23" spans="1:8" x14ac:dyDescent="0.2">
      <c r="A23" s="1">
        <v>44043</v>
      </c>
      <c r="B23">
        <v>28</v>
      </c>
      <c r="C23" s="3">
        <v>0.15</v>
      </c>
      <c r="D23" s="3">
        <f t="shared" si="0"/>
        <v>0.54</v>
      </c>
      <c r="E23" s="3">
        <f t="shared" si="1"/>
        <v>51.851851851851848</v>
      </c>
      <c r="F23" s="6">
        <v>5821</v>
      </c>
      <c r="G23" s="5">
        <v>4220</v>
      </c>
      <c r="H23" s="1"/>
    </row>
    <row r="24" spans="1:8" x14ac:dyDescent="0.2">
      <c r="A24" s="1">
        <v>43951</v>
      </c>
      <c r="B24">
        <v>23.77</v>
      </c>
      <c r="C24" s="3">
        <v>0.12</v>
      </c>
      <c r="D24" s="3">
        <f t="shared" si="0"/>
        <v>0.56000000000000005</v>
      </c>
      <c r="E24" s="3">
        <f t="shared" si="1"/>
        <v>42.446428571428569</v>
      </c>
      <c r="F24" s="6">
        <v>5742</v>
      </c>
      <c r="G24" s="5">
        <v>4170</v>
      </c>
      <c r="H24" s="1"/>
    </row>
    <row r="25" spans="1:8" x14ac:dyDescent="0.2">
      <c r="A25" s="1">
        <v>43861</v>
      </c>
      <c r="B25">
        <v>26.26</v>
      </c>
      <c r="C25" s="3">
        <v>7.0000000000000007E-2</v>
      </c>
      <c r="D25" s="3">
        <f t="shared" si="0"/>
        <v>0.60000000000000009</v>
      </c>
      <c r="E25" s="3">
        <f t="shared" si="1"/>
        <v>43.766666666666666</v>
      </c>
      <c r="F25" s="6">
        <v>5858</v>
      </c>
      <c r="G25" s="5">
        <v>4200</v>
      </c>
      <c r="H25" s="1"/>
    </row>
    <row r="26" spans="1:8" x14ac:dyDescent="0.2">
      <c r="A26" s="1">
        <v>43769</v>
      </c>
      <c r="B26">
        <v>24.94</v>
      </c>
      <c r="C26" s="3">
        <v>0.2</v>
      </c>
      <c r="D26" s="3">
        <f t="shared" si="0"/>
        <v>0.64</v>
      </c>
      <c r="E26" s="3">
        <f t="shared" si="1"/>
        <v>38.96875</v>
      </c>
      <c r="F26" s="6">
        <v>5776</v>
      </c>
      <c r="G26" s="5">
        <v>4190</v>
      </c>
      <c r="H26" s="1"/>
    </row>
    <row r="27" spans="1:8" x14ac:dyDescent="0.2">
      <c r="A27" s="1">
        <v>43677</v>
      </c>
      <c r="B27">
        <v>24.47</v>
      </c>
      <c r="C27" s="3">
        <v>0.17</v>
      </c>
      <c r="D27" s="3">
        <f t="shared" si="0"/>
        <v>0.72</v>
      </c>
      <c r="E27" s="3">
        <f t="shared" si="1"/>
        <v>33.986111111111114</v>
      </c>
      <c r="F27" s="6">
        <v>5515</v>
      </c>
      <c r="G27" s="5">
        <v>4180</v>
      </c>
      <c r="H27" s="1"/>
    </row>
    <row r="28" spans="1:8" x14ac:dyDescent="0.2">
      <c r="A28" s="1">
        <v>43585</v>
      </c>
      <c r="B28">
        <v>26.62</v>
      </c>
      <c r="C28" s="3">
        <v>0.16</v>
      </c>
      <c r="D28" s="3">
        <f t="shared" si="0"/>
        <v>0.82000000000000006</v>
      </c>
      <c r="E28" s="3">
        <f t="shared" si="1"/>
        <v>32.463414634146339</v>
      </c>
      <c r="F28" s="6">
        <v>5517</v>
      </c>
      <c r="G28" s="5">
        <v>4220</v>
      </c>
      <c r="H28" s="1"/>
    </row>
    <row r="29" spans="1:8" x14ac:dyDescent="0.2">
      <c r="A29" s="1">
        <v>43496</v>
      </c>
      <c r="B29">
        <v>22.23</v>
      </c>
      <c r="C29" s="3">
        <v>0.11</v>
      </c>
      <c r="D29" s="3">
        <f t="shared" si="0"/>
        <v>1.49</v>
      </c>
      <c r="E29" s="3">
        <f t="shared" si="1"/>
        <v>14.919463087248323</v>
      </c>
      <c r="F29" s="6">
        <v>5789</v>
      </c>
      <c r="G29" s="5">
        <v>4190</v>
      </c>
      <c r="H29" s="1"/>
    </row>
    <row r="30" spans="1:8" x14ac:dyDescent="0.2">
      <c r="A30" s="1">
        <v>43404</v>
      </c>
      <c r="B30">
        <v>18.32</v>
      </c>
      <c r="C30" s="3">
        <v>0.28000000000000003</v>
      </c>
      <c r="D30" s="3">
        <f t="shared" si="0"/>
        <v>2.84</v>
      </c>
      <c r="E30" s="3">
        <f t="shared" si="1"/>
        <v>6.450704225352113</v>
      </c>
      <c r="F30" s="6">
        <v>5444</v>
      </c>
      <c r="G30" s="5">
        <v>4310</v>
      </c>
      <c r="H30" s="1"/>
    </row>
    <row r="31" spans="1:8" x14ac:dyDescent="0.2">
      <c r="A31" s="1">
        <v>43312</v>
      </c>
      <c r="B31">
        <v>18.05</v>
      </c>
      <c r="C31" s="3">
        <v>0.27</v>
      </c>
      <c r="D31" s="3">
        <f t="shared" si="0"/>
        <v>2.69</v>
      </c>
      <c r="E31" s="3">
        <f t="shared" si="1"/>
        <v>6.7100371747211902</v>
      </c>
      <c r="F31" s="6">
        <v>5063</v>
      </c>
      <c r="G31" s="5">
        <v>4410</v>
      </c>
      <c r="H31" s="1"/>
    </row>
    <row r="32" spans="1:8" x14ac:dyDescent="0.2">
      <c r="A32" s="1">
        <v>43220</v>
      </c>
      <c r="B32">
        <v>18.55</v>
      </c>
      <c r="C32" s="3">
        <v>0.83</v>
      </c>
      <c r="D32" s="3">
        <f t="shared" si="0"/>
        <v>2.5299999999999998</v>
      </c>
      <c r="E32" s="3">
        <f t="shared" si="1"/>
        <v>7.3320158102766806</v>
      </c>
      <c r="F32" s="6">
        <v>5014</v>
      </c>
      <c r="G32" s="5">
        <v>4480</v>
      </c>
      <c r="H32" s="1"/>
    </row>
    <row r="33" spans="1:8" x14ac:dyDescent="0.2">
      <c r="A33" s="1">
        <v>43131</v>
      </c>
      <c r="B33">
        <v>19.91</v>
      </c>
      <c r="C33" s="3">
        <v>1.46</v>
      </c>
      <c r="D33" s="3">
        <f t="shared" si="0"/>
        <v>1.81</v>
      </c>
      <c r="E33" s="3">
        <f t="shared" si="1"/>
        <v>11</v>
      </c>
      <c r="F33" s="6">
        <v>5327</v>
      </c>
      <c r="G33" s="5">
        <v>4260</v>
      </c>
      <c r="H33" s="1"/>
    </row>
    <row r="34" spans="1:8" x14ac:dyDescent="0.2">
      <c r="A34" s="1">
        <v>43039</v>
      </c>
      <c r="B34">
        <v>21.04</v>
      </c>
      <c r="C34" s="3">
        <v>0.13</v>
      </c>
      <c r="D34" s="3">
        <f t="shared" si="0"/>
        <v>0.41</v>
      </c>
      <c r="E34" s="3">
        <f t="shared" si="1"/>
        <v>51.31707317073171</v>
      </c>
      <c r="F34" s="6">
        <v>4844</v>
      </c>
      <c r="G34" s="5">
        <v>4210</v>
      </c>
      <c r="H34" s="1"/>
    </row>
    <row r="35" spans="1:8" x14ac:dyDescent="0.2">
      <c r="A35" s="1">
        <v>42947</v>
      </c>
      <c r="B35">
        <v>19.59</v>
      </c>
      <c r="C35" s="3">
        <v>0.11</v>
      </c>
      <c r="D35" s="3">
        <f t="shared" si="0"/>
        <v>4.0000000000000036E-2</v>
      </c>
      <c r="E35" s="3">
        <f t="shared" si="1"/>
        <v>489.74999999999955</v>
      </c>
      <c r="F35" s="6">
        <v>4463</v>
      </c>
      <c r="G35" s="5">
        <v>4450</v>
      </c>
      <c r="H35" s="1"/>
    </row>
    <row r="36" spans="1:8" x14ac:dyDescent="0.2">
      <c r="A36" s="1">
        <v>42855</v>
      </c>
      <c r="B36">
        <v>17.46</v>
      </c>
      <c r="C36" s="3">
        <v>0.11</v>
      </c>
      <c r="D36" s="3">
        <f t="shared" si="0"/>
        <v>-0.15000000000000002</v>
      </c>
      <c r="E36" s="3">
        <f t="shared" si="1"/>
        <v>-116.39999999999999</v>
      </c>
      <c r="F36" s="6">
        <v>4190</v>
      </c>
      <c r="G36" s="5">
        <v>4420</v>
      </c>
      <c r="H36" s="1"/>
    </row>
    <row r="37" spans="1:8" x14ac:dyDescent="0.2">
      <c r="A37" s="1">
        <v>42766</v>
      </c>
      <c r="B37">
        <v>15.7</v>
      </c>
      <c r="C37" s="3">
        <v>0.06</v>
      </c>
      <c r="D37" s="3">
        <f t="shared" si="0"/>
        <v>-0.56000000000000005</v>
      </c>
      <c r="E37" s="3">
        <f t="shared" si="1"/>
        <v>-28.035714285714281</v>
      </c>
      <c r="F37" s="6">
        <v>4139</v>
      </c>
      <c r="G37" s="5">
        <v>4390</v>
      </c>
      <c r="H37" s="1"/>
    </row>
    <row r="38" spans="1:8" x14ac:dyDescent="0.2">
      <c r="A38" s="1">
        <v>42674</v>
      </c>
      <c r="B38">
        <v>13.33</v>
      </c>
      <c r="C38" s="3">
        <v>-0.24</v>
      </c>
      <c r="D38" s="3">
        <f t="shared" si="0"/>
        <v>-0.49</v>
      </c>
      <c r="E38" s="3">
        <f t="shared" si="1"/>
        <v>-27.204081632653061</v>
      </c>
      <c r="F38" s="6">
        <v>4136</v>
      </c>
      <c r="G38" s="5">
        <v>3830</v>
      </c>
      <c r="H38" s="1"/>
    </row>
    <row r="39" spans="1:8" x14ac:dyDescent="0.2">
      <c r="A39" s="1">
        <v>42582</v>
      </c>
      <c r="B39">
        <v>12.64</v>
      </c>
      <c r="C39" s="3">
        <v>-0.08</v>
      </c>
      <c r="D39" s="3">
        <f t="shared" si="0"/>
        <v>-0.1</v>
      </c>
      <c r="E39" s="3">
        <f t="shared" si="1"/>
        <v>-126.4</v>
      </c>
      <c r="F39" s="6">
        <v>3792</v>
      </c>
      <c r="G39" s="5">
        <v>4190</v>
      </c>
      <c r="H39" s="1"/>
    </row>
    <row r="40" spans="1:8" x14ac:dyDescent="0.2">
      <c r="A40" s="1">
        <v>42490</v>
      </c>
      <c r="B40">
        <v>11.34</v>
      </c>
      <c r="C40" s="3">
        <v>-0.3</v>
      </c>
      <c r="D40" s="3">
        <f t="shared" si="0"/>
        <v>6.0000000000000012E-2</v>
      </c>
      <c r="E40" s="3">
        <f t="shared" si="1"/>
        <v>188.99999999999997</v>
      </c>
      <c r="F40" s="6">
        <v>3541</v>
      </c>
      <c r="G40" s="5">
        <v>4150</v>
      </c>
      <c r="H40" s="1"/>
    </row>
    <row r="41" spans="1:8" x14ac:dyDescent="0.2">
      <c r="A41" s="1">
        <v>42400</v>
      </c>
      <c r="B41">
        <v>10.37</v>
      </c>
      <c r="C41" s="3">
        <v>0.13</v>
      </c>
      <c r="D41" s="3">
        <f t="shared" si="0"/>
        <v>0.48000000000000004</v>
      </c>
      <c r="E41" s="3">
        <f t="shared" si="1"/>
        <v>21.604166666666664</v>
      </c>
      <c r="F41" s="6">
        <v>1771</v>
      </c>
      <c r="G41" s="5">
        <v>2890</v>
      </c>
      <c r="H41" s="1"/>
    </row>
    <row r="42" spans="1:8" x14ac:dyDescent="0.2">
      <c r="A42" s="1">
        <v>42308</v>
      </c>
      <c r="B42">
        <v>9.52</v>
      </c>
      <c r="C42" s="3">
        <v>0.15</v>
      </c>
      <c r="D42" s="3">
        <f t="shared" si="0"/>
        <v>0.48</v>
      </c>
      <c r="E42" s="3">
        <f t="shared" si="1"/>
        <v>19.833333333333332</v>
      </c>
      <c r="F42" s="6">
        <v>1840</v>
      </c>
      <c r="G42" s="5">
        <v>2810</v>
      </c>
      <c r="H42" s="1"/>
    </row>
    <row r="43" spans="1:8" x14ac:dyDescent="0.2">
      <c r="A43" s="1">
        <v>42216</v>
      </c>
      <c r="B43">
        <v>9.64</v>
      </c>
      <c r="C43" s="3">
        <v>0.08</v>
      </c>
      <c r="D43" s="3">
        <f t="shared" si="0"/>
        <v>0.38</v>
      </c>
      <c r="E43" s="3">
        <f t="shared" si="1"/>
        <v>25.368421052631579</v>
      </c>
      <c r="F43" s="6">
        <v>1735</v>
      </c>
      <c r="G43" s="5">
        <v>2870</v>
      </c>
      <c r="H43" s="1"/>
    </row>
    <row r="44" spans="1:8" x14ac:dyDescent="0.2">
      <c r="A44" s="1">
        <v>42124</v>
      </c>
      <c r="B44">
        <v>8.98</v>
      </c>
      <c r="C44" s="3">
        <v>0.12</v>
      </c>
      <c r="D44" s="3">
        <f t="shared" si="0"/>
        <v>0.22999999999999998</v>
      </c>
      <c r="E44" s="3">
        <f t="shared" si="1"/>
        <v>39.04347826086957</v>
      </c>
      <c r="F44" s="6">
        <v>1614</v>
      </c>
      <c r="G44" s="5">
        <v>2840</v>
      </c>
      <c r="H44" s="1"/>
    </row>
    <row r="45" spans="1:8" x14ac:dyDescent="0.2">
      <c r="A45" s="1">
        <v>42035</v>
      </c>
      <c r="B45">
        <v>7.88</v>
      </c>
      <c r="C45" s="3">
        <v>0.13</v>
      </c>
      <c r="D45" s="3">
        <f t="shared" si="0"/>
        <v>0.16999999999999998</v>
      </c>
      <c r="E45" s="3">
        <f t="shared" si="1"/>
        <v>46.352941176470594</v>
      </c>
      <c r="F45" s="6">
        <v>1635</v>
      </c>
      <c r="G45" s="5">
        <v>2780</v>
      </c>
      <c r="H45" s="1"/>
    </row>
    <row r="46" spans="1:8" x14ac:dyDescent="0.2">
      <c r="A46" s="1">
        <v>41943</v>
      </c>
      <c r="B46">
        <v>6.58</v>
      </c>
      <c r="C46" s="3">
        <v>0.05</v>
      </c>
      <c r="D46" s="3">
        <f t="shared" si="0"/>
        <v>0.09</v>
      </c>
      <c r="E46" s="3">
        <f t="shared" si="1"/>
        <v>73.111111111111114</v>
      </c>
      <c r="F46" s="6">
        <v>1590</v>
      </c>
      <c r="G46" s="5">
        <v>2670</v>
      </c>
      <c r="H46" s="1"/>
    </row>
    <row r="47" spans="1:8" x14ac:dyDescent="0.2">
      <c r="A47" s="1">
        <v>41851</v>
      </c>
      <c r="B47">
        <v>5.28</v>
      </c>
      <c r="C47" s="3">
        <v>-7.0000000000000007E-2</v>
      </c>
      <c r="D47" s="3">
        <f t="shared" si="0"/>
        <v>0.11</v>
      </c>
      <c r="E47" s="3">
        <f t="shared" si="1"/>
        <v>48</v>
      </c>
      <c r="F47" s="6">
        <v>1269</v>
      </c>
      <c r="G47" s="5">
        <v>2520</v>
      </c>
      <c r="H47" s="1"/>
    </row>
    <row r="48" spans="1:8" x14ac:dyDescent="0.2">
      <c r="A48" s="1">
        <v>41759</v>
      </c>
      <c r="B48">
        <v>4.8099999999999996</v>
      </c>
      <c r="C48" s="3">
        <v>0.06</v>
      </c>
      <c r="D48" s="3">
        <f t="shared" si="0"/>
        <v>0.24</v>
      </c>
      <c r="E48" s="3">
        <f t="shared" si="1"/>
        <v>20.041666666666664</v>
      </c>
      <c r="F48" s="6">
        <v>701</v>
      </c>
      <c r="G48" s="5">
        <v>2580</v>
      </c>
      <c r="H48" s="1"/>
    </row>
    <row r="49" spans="1:8" x14ac:dyDescent="0.2">
      <c r="A49" s="1">
        <v>41670</v>
      </c>
      <c r="B49">
        <v>4.12</v>
      </c>
      <c r="C49" s="3">
        <v>0.05</v>
      </c>
      <c r="D49" s="3">
        <f t="shared" si="0"/>
        <v>0.22999999999999998</v>
      </c>
      <c r="E49" s="3">
        <f t="shared" si="1"/>
        <v>17.913043478260871</v>
      </c>
      <c r="F49" s="6">
        <v>709</v>
      </c>
      <c r="G49" s="5">
        <v>2550</v>
      </c>
      <c r="H49" s="1"/>
    </row>
    <row r="50" spans="1:8" x14ac:dyDescent="0.2">
      <c r="A50" s="1">
        <v>41578</v>
      </c>
      <c r="B50">
        <v>3.41</v>
      </c>
      <c r="C50" s="3">
        <v>7.0000000000000007E-2</v>
      </c>
      <c r="D50" s="3">
        <f t="shared" si="0"/>
        <v>0.22999999999999998</v>
      </c>
      <c r="E50" s="3">
        <f t="shared" si="1"/>
        <v>14.82608695652174</v>
      </c>
      <c r="F50" s="6">
        <v>738</v>
      </c>
      <c r="G50" s="5">
        <v>2520</v>
      </c>
      <c r="H50" s="1"/>
    </row>
    <row r="51" spans="1:8" x14ac:dyDescent="0.2">
      <c r="A51" s="1">
        <v>41486</v>
      </c>
      <c r="B51">
        <v>2.74</v>
      </c>
      <c r="C51" s="3">
        <v>0.06</v>
      </c>
      <c r="D51" s="3">
        <f t="shared" si="0"/>
        <v>0.22</v>
      </c>
      <c r="E51" s="3">
        <f t="shared" si="1"/>
        <v>12.454545454545455</v>
      </c>
      <c r="F51" s="6">
        <v>644</v>
      </c>
      <c r="G51" s="5">
        <v>2520</v>
      </c>
      <c r="H51" s="1"/>
    </row>
    <row r="52" spans="1:8" x14ac:dyDescent="0.2">
      <c r="A52" s="1">
        <v>41394</v>
      </c>
      <c r="B52">
        <v>2.37</v>
      </c>
      <c r="C52" s="3">
        <v>0.05</v>
      </c>
      <c r="D52" s="3">
        <f t="shared" si="0"/>
        <v>0.22</v>
      </c>
      <c r="E52" s="3">
        <f t="shared" si="1"/>
        <v>10.772727272727273</v>
      </c>
      <c r="F52" s="6">
        <v>562</v>
      </c>
      <c r="G52" s="5">
        <v>2510</v>
      </c>
      <c r="H52" s="1"/>
    </row>
    <row r="53" spans="1:8" x14ac:dyDescent="0.2">
      <c r="A53" s="1">
        <v>41305</v>
      </c>
      <c r="B53">
        <v>2.64</v>
      </c>
      <c r="C53" s="3">
        <v>0.05</v>
      </c>
      <c r="D53" s="3">
        <f t="shared" si="0"/>
        <v>0.21999999999999997</v>
      </c>
      <c r="E53" s="3">
        <f t="shared" si="1"/>
        <v>12.000000000000002</v>
      </c>
      <c r="F53" s="6">
        <v>576</v>
      </c>
      <c r="G53" s="5">
        <v>2510</v>
      </c>
      <c r="H53" s="1"/>
    </row>
    <row r="54" spans="1:8" x14ac:dyDescent="0.2">
      <c r="A54" s="1">
        <v>41213</v>
      </c>
      <c r="B54">
        <v>2.4300000000000002</v>
      </c>
      <c r="C54" s="3">
        <v>0.06</v>
      </c>
      <c r="D54" s="3">
        <f t="shared" si="0"/>
        <v>0.21999999999999997</v>
      </c>
      <c r="E54" s="3">
        <f t="shared" si="1"/>
        <v>11.045454545454547</v>
      </c>
      <c r="F54" s="6">
        <v>618</v>
      </c>
      <c r="G54" s="5">
        <v>2500</v>
      </c>
      <c r="H54" s="1"/>
    </row>
    <row r="55" spans="1:8" x14ac:dyDescent="0.2">
      <c r="A55" s="1">
        <v>41121</v>
      </c>
      <c r="B55">
        <v>2.7</v>
      </c>
      <c r="C55" s="3">
        <v>0.06</v>
      </c>
      <c r="D55" s="3">
        <f t="shared" si="0"/>
        <v>0.22</v>
      </c>
      <c r="E55" s="3">
        <f t="shared" si="1"/>
        <v>12.272727272727273</v>
      </c>
      <c r="F55" s="6">
        <v>606</v>
      </c>
      <c r="G55" s="5">
        <v>2500</v>
      </c>
      <c r="H55" s="1"/>
    </row>
    <row r="56" spans="1:8" x14ac:dyDescent="0.2">
      <c r="A56" s="1">
        <v>41029</v>
      </c>
      <c r="B56">
        <v>2.5099999999999998</v>
      </c>
      <c r="C56" s="3">
        <v>0.05</v>
      </c>
      <c r="D56" s="3">
        <f t="shared" si="0"/>
        <v>0.22</v>
      </c>
      <c r="E56" s="3">
        <f t="shared" si="1"/>
        <v>11.409090909090908</v>
      </c>
      <c r="F56" s="6">
        <v>577</v>
      </c>
      <c r="G56" s="5">
        <v>2500</v>
      </c>
      <c r="H56" s="1"/>
    </row>
    <row r="57" spans="1:8" x14ac:dyDescent="0.2">
      <c r="A57" s="1">
        <v>40939</v>
      </c>
      <c r="B57">
        <v>2.46</v>
      </c>
      <c r="C57" s="3">
        <v>0.05</v>
      </c>
      <c r="D57" s="3">
        <f t="shared" si="0"/>
        <v>0.21999999999999997</v>
      </c>
      <c r="E57" s="3">
        <f t="shared" si="1"/>
        <v>11.181818181818183</v>
      </c>
      <c r="F57" s="6">
        <v>563</v>
      </c>
      <c r="G57" s="5">
        <v>2500</v>
      </c>
      <c r="H57" s="1"/>
    </row>
    <row r="58" spans="1:8" x14ac:dyDescent="0.2">
      <c r="A58" s="1">
        <v>40847</v>
      </c>
      <c r="B58">
        <v>2.44</v>
      </c>
      <c r="C58" s="3">
        <v>0.06</v>
      </c>
      <c r="D58" s="3"/>
      <c r="E58" s="3"/>
      <c r="F58" s="6">
        <v>623</v>
      </c>
      <c r="G58" s="5">
        <v>2520</v>
      </c>
      <c r="H58" s="1"/>
    </row>
    <row r="59" spans="1:8" x14ac:dyDescent="0.2">
      <c r="A59" s="1">
        <v>40755</v>
      </c>
      <c r="B59">
        <v>2.42</v>
      </c>
      <c r="C59" s="3">
        <v>0.06</v>
      </c>
      <c r="D59" s="3"/>
      <c r="E59" s="3"/>
      <c r="F59" s="6">
        <v>603</v>
      </c>
      <c r="G59" s="5">
        <v>2530</v>
      </c>
      <c r="H59" s="1"/>
    </row>
    <row r="60" spans="1:8" x14ac:dyDescent="0.2">
      <c r="A60" s="1">
        <v>40663</v>
      </c>
      <c r="B60">
        <v>2.4</v>
      </c>
      <c r="C60" s="3">
        <v>0.05</v>
      </c>
      <c r="D60" s="3"/>
      <c r="E60" s="3"/>
      <c r="F60" s="6">
        <v>560</v>
      </c>
      <c r="G60" s="5">
        <v>2520</v>
      </c>
      <c r="H60" s="1"/>
    </row>
    <row r="61" spans="1:8" x14ac:dyDescent="0.2">
      <c r="A61" s="1"/>
      <c r="C61" s="3"/>
      <c r="D61" s="3"/>
      <c r="E61" s="3"/>
      <c r="F61" s="6"/>
      <c r="G61" s="5"/>
    </row>
    <row r="62" spans="1:8" x14ac:dyDescent="0.2">
      <c r="A62" s="1"/>
      <c r="C62" s="2"/>
    </row>
    <row r="63" spans="1:8" x14ac:dyDescent="0.2">
      <c r="A63" s="1"/>
      <c r="C6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4A1C-6C1D-8A4F-8222-1B3F6B4D6B11}">
  <dimension ref="A1:G61"/>
  <sheetViews>
    <sheetView tabSelected="1" topLeftCell="A33" workbookViewId="0">
      <selection activeCell="J17" sqref="J17"/>
    </sheetView>
  </sheetViews>
  <sheetFormatPr baseColWidth="10" defaultRowHeight="16" x14ac:dyDescent="0.2"/>
  <sheetData>
    <row r="1" spans="1:7" x14ac:dyDescent="0.2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10</v>
      </c>
      <c r="G1" t="s">
        <v>15</v>
      </c>
    </row>
    <row r="2" spans="1:7" x14ac:dyDescent="0.2">
      <c r="A2" s="1">
        <v>46022</v>
      </c>
      <c r="B2">
        <v>449.72</v>
      </c>
      <c r="C2" s="3">
        <v>0.24</v>
      </c>
      <c r="D2" s="3">
        <f>SUM(C2:C5)</f>
        <v>1.08</v>
      </c>
      <c r="E2" s="3">
        <f>IFERROR(B2/D2,"")</f>
        <v>416.40740740740739</v>
      </c>
      <c r="F2" s="6">
        <v>24901</v>
      </c>
      <c r="G2" s="5">
        <v>3528</v>
      </c>
    </row>
    <row r="3" spans="1:7" x14ac:dyDescent="0.2">
      <c r="A3" s="1">
        <v>45930</v>
      </c>
      <c r="B3">
        <v>444.72</v>
      </c>
      <c r="C3" s="3">
        <v>0.39</v>
      </c>
      <c r="D3" s="3">
        <f t="shared" ref="D3:D58" si="0">SUM(C3:C6)</f>
        <v>1.45</v>
      </c>
      <c r="E3" s="3">
        <f t="shared" ref="E3:E58" si="1">IFERROR(B3/D3,"")</f>
        <v>306.70344827586212</v>
      </c>
      <c r="F3" s="6">
        <v>28095</v>
      </c>
      <c r="G3" s="5">
        <v>3526</v>
      </c>
    </row>
    <row r="4" spans="1:7" x14ac:dyDescent="0.2">
      <c r="A4" s="1">
        <v>45838</v>
      </c>
      <c r="B4">
        <v>317.66000000000003</v>
      </c>
      <c r="C4" s="3">
        <v>0.33</v>
      </c>
      <c r="D4" s="3">
        <f t="shared" si="0"/>
        <v>1.6800000000000002</v>
      </c>
      <c r="E4" s="3">
        <f t="shared" si="1"/>
        <v>189.08333333333334</v>
      </c>
      <c r="F4" s="6">
        <v>22496</v>
      </c>
      <c r="G4" s="5">
        <v>3519</v>
      </c>
    </row>
    <row r="5" spans="1:7" x14ac:dyDescent="0.2">
      <c r="A5" s="1">
        <v>45747</v>
      </c>
      <c r="B5">
        <v>259.16000000000003</v>
      </c>
      <c r="C5" s="3">
        <v>0.12</v>
      </c>
      <c r="D5" s="3">
        <f t="shared" si="0"/>
        <v>1.75</v>
      </c>
      <c r="E5" s="3">
        <f t="shared" si="1"/>
        <v>148.09142857142859</v>
      </c>
      <c r="F5" s="6">
        <v>19335</v>
      </c>
      <c r="G5" s="5">
        <v>3521</v>
      </c>
    </row>
    <row r="6" spans="1:7" x14ac:dyDescent="0.2">
      <c r="A6" s="1">
        <v>45657</v>
      </c>
      <c r="B6">
        <v>403.84</v>
      </c>
      <c r="C6" s="3">
        <v>0.61</v>
      </c>
      <c r="D6" s="3">
        <f t="shared" si="0"/>
        <v>2.04</v>
      </c>
      <c r="E6" s="3">
        <f t="shared" si="1"/>
        <v>197.96078431372547</v>
      </c>
      <c r="F6" s="6">
        <v>25707</v>
      </c>
      <c r="G6" s="5">
        <v>3498</v>
      </c>
    </row>
    <row r="7" spans="1:7" x14ac:dyDescent="0.2">
      <c r="A7" s="1">
        <v>45565</v>
      </c>
      <c r="B7">
        <v>261.63</v>
      </c>
      <c r="C7" s="3">
        <v>0.62</v>
      </c>
      <c r="D7" s="3">
        <f t="shared" si="0"/>
        <v>3.6899999999999995</v>
      </c>
      <c r="E7" s="3">
        <f t="shared" si="1"/>
        <v>70.902439024390247</v>
      </c>
      <c r="F7" s="6">
        <v>25182</v>
      </c>
      <c r="G7" s="5">
        <v>3497</v>
      </c>
    </row>
    <row r="8" spans="1:7" x14ac:dyDescent="0.2">
      <c r="A8" s="1">
        <v>45473</v>
      </c>
      <c r="B8">
        <v>197.88</v>
      </c>
      <c r="C8" s="3">
        <v>0.4</v>
      </c>
      <c r="D8" s="3">
        <f t="shared" si="0"/>
        <v>3.5999999999999996</v>
      </c>
      <c r="E8" s="3">
        <f t="shared" si="1"/>
        <v>54.966666666666669</v>
      </c>
      <c r="F8" s="6">
        <v>25500</v>
      </c>
      <c r="G8" s="5">
        <v>3481</v>
      </c>
    </row>
    <row r="9" spans="1:7" x14ac:dyDescent="0.2">
      <c r="A9" s="1">
        <v>45382</v>
      </c>
      <c r="B9">
        <v>175.79</v>
      </c>
      <c r="C9" s="3">
        <v>0.41</v>
      </c>
      <c r="D9" s="3">
        <f t="shared" si="0"/>
        <v>3.9800000000000004</v>
      </c>
      <c r="E9" s="3">
        <f t="shared" si="1"/>
        <v>44.168341708542705</v>
      </c>
      <c r="F9" s="6">
        <v>21301</v>
      </c>
      <c r="G9" s="5">
        <v>3484</v>
      </c>
    </row>
    <row r="10" spans="1:7" x14ac:dyDescent="0.2">
      <c r="A10" s="1">
        <v>45291</v>
      </c>
      <c r="B10">
        <v>248.48</v>
      </c>
      <c r="C10" s="3">
        <v>2.2599999999999998</v>
      </c>
      <c r="D10" s="3">
        <f t="shared" si="0"/>
        <v>4.3000000000000007</v>
      </c>
      <c r="E10" s="3">
        <f t="shared" si="1"/>
        <v>57.786046511627895</v>
      </c>
      <c r="F10" s="6">
        <v>25167</v>
      </c>
      <c r="G10" s="5">
        <v>3485</v>
      </c>
    </row>
    <row r="11" spans="1:7" x14ac:dyDescent="0.2">
      <c r="A11" s="1">
        <v>45199</v>
      </c>
      <c r="B11">
        <v>250.22</v>
      </c>
      <c r="C11" s="3">
        <v>0.53</v>
      </c>
      <c r="D11" s="3">
        <f t="shared" si="0"/>
        <v>3.1100000000000003</v>
      </c>
      <c r="E11" s="3">
        <f t="shared" si="1"/>
        <v>80.456591639871377</v>
      </c>
      <c r="F11" s="6">
        <v>23350</v>
      </c>
      <c r="G11" s="5">
        <v>3493</v>
      </c>
    </row>
    <row r="12" spans="1:7" x14ac:dyDescent="0.2">
      <c r="A12" s="1">
        <v>45107</v>
      </c>
      <c r="B12">
        <v>261.77</v>
      </c>
      <c r="C12" s="3">
        <v>0.78</v>
      </c>
      <c r="D12" s="3">
        <f t="shared" si="0"/>
        <v>3.5300000000000002</v>
      </c>
      <c r="E12" s="3">
        <f t="shared" si="1"/>
        <v>74.155807365439088</v>
      </c>
      <c r="F12" s="6">
        <v>24927</v>
      </c>
      <c r="G12" s="5">
        <v>3478</v>
      </c>
    </row>
    <row r="13" spans="1:7" x14ac:dyDescent="0.2">
      <c r="A13" s="1">
        <v>45016</v>
      </c>
      <c r="B13">
        <v>207.46</v>
      </c>
      <c r="C13" s="3">
        <v>0.73</v>
      </c>
      <c r="D13" s="3">
        <f t="shared" si="0"/>
        <v>3.4</v>
      </c>
      <c r="E13" s="3">
        <f t="shared" si="1"/>
        <v>61.017647058823535</v>
      </c>
      <c r="F13" s="6">
        <v>23329</v>
      </c>
      <c r="G13" s="5">
        <v>3468</v>
      </c>
    </row>
    <row r="14" spans="1:7" x14ac:dyDescent="0.2">
      <c r="A14" s="1">
        <v>44926</v>
      </c>
      <c r="B14">
        <v>123.18</v>
      </c>
      <c r="C14" s="3">
        <v>1.07</v>
      </c>
      <c r="D14" s="3">
        <f t="shared" si="0"/>
        <v>3.62</v>
      </c>
      <c r="E14" s="3">
        <f t="shared" si="1"/>
        <v>34.027624309392266</v>
      </c>
      <c r="F14" s="6">
        <v>24318</v>
      </c>
      <c r="G14" s="5">
        <v>3475</v>
      </c>
    </row>
    <row r="15" spans="1:7" x14ac:dyDescent="0.2">
      <c r="A15" s="1">
        <v>44834</v>
      </c>
      <c r="B15">
        <v>265.25</v>
      </c>
      <c r="C15" s="3">
        <v>0.95</v>
      </c>
      <c r="D15" s="3">
        <f t="shared" si="0"/>
        <v>3.23</v>
      </c>
      <c r="E15" s="3">
        <f t="shared" si="1"/>
        <v>82.120743034055721</v>
      </c>
      <c r="F15" s="6">
        <v>21454</v>
      </c>
      <c r="G15" s="5">
        <v>3468</v>
      </c>
    </row>
    <row r="16" spans="1:7" x14ac:dyDescent="0.2">
      <c r="A16" s="1">
        <v>44742</v>
      </c>
      <c r="B16">
        <v>224.47</v>
      </c>
      <c r="C16" s="3">
        <v>0.65</v>
      </c>
      <c r="D16" s="3">
        <f t="shared" si="0"/>
        <v>2.7600000000000002</v>
      </c>
      <c r="E16" s="3">
        <f t="shared" si="1"/>
        <v>81.329710144927532</v>
      </c>
      <c r="F16" s="6">
        <v>16934</v>
      </c>
      <c r="G16" s="5">
        <v>3464</v>
      </c>
    </row>
    <row r="17" spans="1:7" x14ac:dyDescent="0.2">
      <c r="A17" s="1">
        <v>44651</v>
      </c>
      <c r="B17">
        <v>359.2</v>
      </c>
      <c r="C17" s="3">
        <v>0.95</v>
      </c>
      <c r="D17" s="3">
        <f t="shared" si="0"/>
        <v>2.4499999999999997</v>
      </c>
      <c r="E17" s="3">
        <f t="shared" si="1"/>
        <v>146.61224489795919</v>
      </c>
      <c r="F17" s="6">
        <v>18756</v>
      </c>
      <c r="G17" s="5">
        <v>3472</v>
      </c>
    </row>
    <row r="18" spans="1:7" x14ac:dyDescent="0.2">
      <c r="A18" s="1">
        <v>44561</v>
      </c>
      <c r="B18">
        <v>352.26</v>
      </c>
      <c r="C18" s="3">
        <v>0.68</v>
      </c>
      <c r="D18" s="3">
        <f t="shared" si="0"/>
        <v>1.6300000000000003</v>
      </c>
      <c r="E18" s="3">
        <f t="shared" si="1"/>
        <v>216.11042944785271</v>
      </c>
      <c r="F18" s="6">
        <v>17719</v>
      </c>
      <c r="G18" s="5">
        <v>3386</v>
      </c>
    </row>
    <row r="19" spans="1:7" x14ac:dyDescent="0.2">
      <c r="A19" s="1">
        <v>44469</v>
      </c>
      <c r="B19">
        <v>258.49</v>
      </c>
      <c r="C19" s="3">
        <v>0.48</v>
      </c>
      <c r="D19" s="3">
        <f t="shared" si="0"/>
        <v>1.03</v>
      </c>
      <c r="E19" s="3">
        <f t="shared" si="1"/>
        <v>250.96116504854371</v>
      </c>
      <c r="F19" s="6">
        <v>13757</v>
      </c>
      <c r="G19" s="5">
        <v>3369</v>
      </c>
    </row>
    <row r="20" spans="1:7" x14ac:dyDescent="0.2">
      <c r="A20" s="1">
        <v>44377</v>
      </c>
      <c r="B20">
        <v>226.57</v>
      </c>
      <c r="C20" s="3">
        <v>0.34</v>
      </c>
      <c r="D20" s="3">
        <f t="shared" si="0"/>
        <v>0.64</v>
      </c>
      <c r="E20" s="3">
        <f t="shared" si="1"/>
        <v>354.015625</v>
      </c>
      <c r="F20" s="6">
        <v>11958</v>
      </c>
      <c r="G20" s="5">
        <v>3357</v>
      </c>
    </row>
    <row r="21" spans="1:7" x14ac:dyDescent="0.2">
      <c r="A21" s="1">
        <v>44286</v>
      </c>
      <c r="B21">
        <v>222.64</v>
      </c>
      <c r="C21" s="3">
        <v>0.13</v>
      </c>
      <c r="D21" s="3">
        <f t="shared" si="0"/>
        <v>0.33000000000000007</v>
      </c>
      <c r="E21" s="3">
        <f t="shared" si="1"/>
        <v>674.66666666666652</v>
      </c>
      <c r="F21" s="6">
        <v>10389</v>
      </c>
      <c r="G21" s="5">
        <v>3399</v>
      </c>
    </row>
    <row r="22" spans="1:7" x14ac:dyDescent="0.2">
      <c r="A22" s="1">
        <v>44196</v>
      </c>
      <c r="B22">
        <v>235.22</v>
      </c>
      <c r="C22" s="3">
        <v>0.08</v>
      </c>
      <c r="D22" s="3">
        <f t="shared" si="0"/>
        <v>0.21</v>
      </c>
      <c r="E22" s="3">
        <f t="shared" si="1"/>
        <v>1120.0952380952381</v>
      </c>
      <c r="F22" s="6">
        <v>10744</v>
      </c>
      <c r="G22" s="5">
        <v>3249</v>
      </c>
    </row>
    <row r="23" spans="1:7" x14ac:dyDescent="0.2">
      <c r="A23" s="1">
        <v>44104</v>
      </c>
      <c r="B23">
        <v>143</v>
      </c>
      <c r="C23" s="3">
        <v>0.09</v>
      </c>
      <c r="D23" s="3">
        <f t="shared" si="0"/>
        <v>0.18</v>
      </c>
      <c r="E23" s="3">
        <f t="shared" si="1"/>
        <v>794.44444444444446</v>
      </c>
      <c r="F23" s="6">
        <v>8771</v>
      </c>
      <c r="G23" s="5">
        <v>3315</v>
      </c>
    </row>
    <row r="24" spans="1:7" x14ac:dyDescent="0.2">
      <c r="A24" s="1">
        <v>44012</v>
      </c>
      <c r="B24">
        <v>71.989999999999995</v>
      </c>
      <c r="C24" s="3">
        <v>0.03</v>
      </c>
      <c r="D24" s="3">
        <f t="shared" si="0"/>
        <v>0.14000000000000001</v>
      </c>
      <c r="E24" s="3">
        <f t="shared" si="1"/>
        <v>514.21428571428567</v>
      </c>
      <c r="F24" s="6">
        <v>6036</v>
      </c>
      <c r="G24" s="5">
        <v>3108</v>
      </c>
    </row>
    <row r="25" spans="1:7" x14ac:dyDescent="0.2">
      <c r="A25" s="1">
        <v>43921</v>
      </c>
      <c r="B25">
        <v>34.93</v>
      </c>
      <c r="C25" s="3">
        <v>0.01</v>
      </c>
      <c r="D25" s="3">
        <f t="shared" si="0"/>
        <v>-3.999999999999998E-2</v>
      </c>
      <c r="E25" s="3">
        <f t="shared" si="1"/>
        <v>-873.25000000000045</v>
      </c>
      <c r="F25" s="6">
        <v>5985</v>
      </c>
      <c r="G25" s="5">
        <v>2982</v>
      </c>
    </row>
    <row r="26" spans="1:7" x14ac:dyDescent="0.2">
      <c r="A26" s="1">
        <v>43830</v>
      </c>
      <c r="B26">
        <v>27.89</v>
      </c>
      <c r="C26" s="3">
        <v>0.05</v>
      </c>
      <c r="D26" s="3">
        <f t="shared" si="0"/>
        <v>-0.32</v>
      </c>
      <c r="E26" s="3">
        <f t="shared" si="1"/>
        <v>-87.15625</v>
      </c>
      <c r="F26" s="6">
        <v>7384</v>
      </c>
      <c r="G26" s="5">
        <v>2661</v>
      </c>
    </row>
    <row r="27" spans="1:7" x14ac:dyDescent="0.2">
      <c r="A27" s="1">
        <v>43738</v>
      </c>
      <c r="B27">
        <v>16.059999999999999</v>
      </c>
      <c r="C27" s="3">
        <v>0.05</v>
      </c>
      <c r="D27" s="3">
        <f t="shared" si="0"/>
        <v>-0.31</v>
      </c>
      <c r="E27" s="3">
        <f t="shared" si="1"/>
        <v>-51.806451612903224</v>
      </c>
      <c r="F27" s="6">
        <v>6303</v>
      </c>
      <c r="G27" s="5">
        <v>2766</v>
      </c>
    </row>
    <row r="28" spans="1:7" x14ac:dyDescent="0.2">
      <c r="A28" s="1">
        <v>43646</v>
      </c>
      <c r="B28">
        <v>14.9</v>
      </c>
      <c r="C28" s="3">
        <v>-0.15</v>
      </c>
      <c r="D28" s="3">
        <f t="shared" si="0"/>
        <v>-0.24000000000000005</v>
      </c>
      <c r="E28" s="3">
        <f t="shared" si="1"/>
        <v>-62.083333333333321</v>
      </c>
      <c r="F28" s="6">
        <v>6350</v>
      </c>
      <c r="G28" s="5">
        <v>2655</v>
      </c>
    </row>
    <row r="29" spans="1:7" x14ac:dyDescent="0.2">
      <c r="A29" s="1">
        <v>43555</v>
      </c>
      <c r="B29">
        <v>18.66</v>
      </c>
      <c r="C29" s="3">
        <v>-0.27</v>
      </c>
      <c r="D29" s="3">
        <f t="shared" si="0"/>
        <v>-0.37000000000000005</v>
      </c>
      <c r="E29" s="3">
        <f t="shared" si="1"/>
        <v>-50.432432432432428</v>
      </c>
      <c r="F29" s="6">
        <v>4541</v>
      </c>
      <c r="G29" s="5">
        <v>2595</v>
      </c>
    </row>
    <row r="30" spans="1:7" x14ac:dyDescent="0.2">
      <c r="A30" s="1">
        <v>43465</v>
      </c>
      <c r="B30">
        <v>22.19</v>
      </c>
      <c r="C30" s="3">
        <v>0.06</v>
      </c>
      <c r="D30" s="3">
        <f t="shared" si="0"/>
        <v>-0.38000000000000006</v>
      </c>
      <c r="E30" s="3">
        <f t="shared" si="1"/>
        <v>-58.39473684210526</v>
      </c>
      <c r="F30" s="6">
        <v>7226</v>
      </c>
      <c r="G30" s="5">
        <v>2559</v>
      </c>
    </row>
    <row r="31" spans="1:7" x14ac:dyDescent="0.2">
      <c r="A31" s="1">
        <v>43373</v>
      </c>
      <c r="B31">
        <v>17.649999999999999</v>
      </c>
      <c r="C31" s="3">
        <v>0.12</v>
      </c>
      <c r="D31" s="3">
        <f t="shared" si="0"/>
        <v>-0.71000000000000008</v>
      </c>
      <c r="E31" s="3">
        <f t="shared" si="1"/>
        <v>-24.859154929577461</v>
      </c>
      <c r="F31" s="6">
        <v>6824</v>
      </c>
      <c r="G31" s="5">
        <v>2670</v>
      </c>
    </row>
    <row r="32" spans="1:7" x14ac:dyDescent="0.2">
      <c r="A32" s="1">
        <v>43281</v>
      </c>
      <c r="B32">
        <v>22.86</v>
      </c>
      <c r="C32" s="3">
        <v>-0.28000000000000003</v>
      </c>
      <c r="D32" s="3">
        <f t="shared" si="0"/>
        <v>-1.08</v>
      </c>
      <c r="E32" s="3">
        <f t="shared" si="1"/>
        <v>-21.166666666666664</v>
      </c>
      <c r="F32" s="6">
        <v>4002</v>
      </c>
      <c r="G32" s="5">
        <v>2550</v>
      </c>
    </row>
    <row r="33" spans="1:7" x14ac:dyDescent="0.2">
      <c r="A33" s="1">
        <v>43190</v>
      </c>
      <c r="B33">
        <v>17.739999999999998</v>
      </c>
      <c r="C33" s="3">
        <v>-0.28000000000000003</v>
      </c>
      <c r="D33" s="3">
        <f t="shared" si="0"/>
        <v>-0.94000000000000006</v>
      </c>
      <c r="E33" s="3">
        <f t="shared" si="1"/>
        <v>-18.872340425531913</v>
      </c>
      <c r="F33" s="6">
        <v>3409</v>
      </c>
      <c r="G33" s="5">
        <v>2537</v>
      </c>
    </row>
    <row r="34" spans="1:7" x14ac:dyDescent="0.2">
      <c r="A34" s="1">
        <v>43100</v>
      </c>
      <c r="B34">
        <v>20.76</v>
      </c>
      <c r="C34" s="3">
        <v>-0.27</v>
      </c>
      <c r="D34" s="3">
        <f t="shared" si="0"/>
        <v>-0.8</v>
      </c>
      <c r="E34" s="3">
        <f t="shared" si="1"/>
        <v>-25.95</v>
      </c>
      <c r="F34" s="6">
        <v>3288</v>
      </c>
      <c r="G34" s="5">
        <v>2490</v>
      </c>
    </row>
    <row r="35" spans="1:7" x14ac:dyDescent="0.2">
      <c r="A35" s="1">
        <v>43008</v>
      </c>
      <c r="B35">
        <v>22.74</v>
      </c>
      <c r="C35" s="3">
        <v>-0.25</v>
      </c>
      <c r="D35" s="3">
        <f t="shared" si="0"/>
        <v>-0.57000000000000006</v>
      </c>
      <c r="E35" s="3">
        <f t="shared" si="1"/>
        <v>-39.894736842105253</v>
      </c>
      <c r="F35" s="6">
        <v>2985</v>
      </c>
      <c r="G35" s="5">
        <v>2509</v>
      </c>
    </row>
    <row r="36" spans="1:7" x14ac:dyDescent="0.2">
      <c r="A36" s="1">
        <v>42916</v>
      </c>
      <c r="B36">
        <v>24.11</v>
      </c>
      <c r="C36" s="3">
        <v>-0.14000000000000001</v>
      </c>
      <c r="D36" s="3">
        <f t="shared" si="0"/>
        <v>-0.31</v>
      </c>
      <c r="E36" s="3">
        <f t="shared" si="1"/>
        <v>-77.774193548387089</v>
      </c>
      <c r="F36" s="6">
        <v>2790</v>
      </c>
      <c r="G36" s="5">
        <v>2478</v>
      </c>
    </row>
    <row r="37" spans="1:7" x14ac:dyDescent="0.2">
      <c r="A37" s="1">
        <v>42825</v>
      </c>
      <c r="B37">
        <v>18.55</v>
      </c>
      <c r="C37" s="3">
        <v>-0.14000000000000001</v>
      </c>
      <c r="D37" s="3">
        <f t="shared" si="0"/>
        <v>-0.31000000000000005</v>
      </c>
      <c r="E37" s="3">
        <f t="shared" si="1"/>
        <v>-59.838709677419345</v>
      </c>
      <c r="F37" s="6">
        <v>2696</v>
      </c>
      <c r="G37" s="5">
        <v>2432</v>
      </c>
    </row>
    <row r="38" spans="1:7" x14ac:dyDescent="0.2">
      <c r="A38" s="1">
        <v>42735</v>
      </c>
      <c r="B38">
        <v>14.25</v>
      </c>
      <c r="C38" s="3">
        <v>-0.04</v>
      </c>
      <c r="D38" s="3">
        <f t="shared" si="0"/>
        <v>-0.31000000000000005</v>
      </c>
      <c r="E38" s="3">
        <f t="shared" si="1"/>
        <v>-45.967741935483865</v>
      </c>
      <c r="F38" s="6">
        <v>2285</v>
      </c>
      <c r="G38" s="5">
        <v>2163</v>
      </c>
    </row>
    <row r="39" spans="1:7" x14ac:dyDescent="0.2">
      <c r="A39" s="1">
        <v>42643</v>
      </c>
      <c r="B39">
        <v>13.6</v>
      </c>
      <c r="C39" s="3">
        <v>0.01</v>
      </c>
      <c r="D39" s="3">
        <f t="shared" si="0"/>
        <v>-0.44000000000000006</v>
      </c>
      <c r="E39" s="3">
        <f t="shared" si="1"/>
        <v>-30.909090909090903</v>
      </c>
      <c r="F39" s="6">
        <v>2298</v>
      </c>
      <c r="G39" s="5">
        <v>2354</v>
      </c>
    </row>
    <row r="40" spans="1:7" x14ac:dyDescent="0.2">
      <c r="A40" s="1">
        <v>42551</v>
      </c>
      <c r="B40">
        <v>14.15</v>
      </c>
      <c r="C40" s="3">
        <v>-0.14000000000000001</v>
      </c>
      <c r="D40" s="3">
        <f t="shared" si="0"/>
        <v>-0.57000000000000006</v>
      </c>
      <c r="E40" s="3">
        <f t="shared" si="1"/>
        <v>-24.82456140350877</v>
      </c>
      <c r="F40" s="6">
        <v>1270</v>
      </c>
      <c r="G40" s="5">
        <v>2100</v>
      </c>
    </row>
    <row r="41" spans="1:7" x14ac:dyDescent="0.2">
      <c r="A41" s="1">
        <v>42460</v>
      </c>
      <c r="B41">
        <v>15.32</v>
      </c>
      <c r="C41" s="3">
        <v>-0.14000000000000001</v>
      </c>
      <c r="D41" s="3">
        <f t="shared" si="0"/>
        <v>-0.53</v>
      </c>
      <c r="E41" s="3">
        <f t="shared" si="1"/>
        <v>-28.90566037735849</v>
      </c>
      <c r="F41" s="6">
        <v>1147</v>
      </c>
      <c r="G41" s="5">
        <v>1990</v>
      </c>
    </row>
    <row r="42" spans="1:7" x14ac:dyDescent="0.2">
      <c r="A42" s="1">
        <v>42369</v>
      </c>
      <c r="B42">
        <v>16</v>
      </c>
      <c r="C42" s="3">
        <v>-0.17</v>
      </c>
      <c r="D42" s="3">
        <f t="shared" si="0"/>
        <v>-0.47000000000000003</v>
      </c>
      <c r="E42" s="3">
        <f t="shared" si="1"/>
        <v>-34.042553191489361</v>
      </c>
      <c r="F42" s="6">
        <v>1214</v>
      </c>
      <c r="G42" s="5">
        <v>1923</v>
      </c>
    </row>
    <row r="43" spans="1:7" x14ac:dyDescent="0.2">
      <c r="A43" s="1">
        <v>42277</v>
      </c>
      <c r="B43">
        <v>16.559999999999999</v>
      </c>
      <c r="C43" s="3">
        <v>-0.12</v>
      </c>
      <c r="D43" s="3">
        <f t="shared" si="0"/>
        <v>-0.36</v>
      </c>
      <c r="E43" s="3">
        <f t="shared" si="1"/>
        <v>-46</v>
      </c>
      <c r="F43" s="6">
        <v>937</v>
      </c>
      <c r="G43" s="5">
        <v>1935</v>
      </c>
    </row>
    <row r="44" spans="1:7" x14ac:dyDescent="0.2">
      <c r="A44" s="1">
        <v>42185</v>
      </c>
      <c r="B44">
        <v>17.88</v>
      </c>
      <c r="C44" s="3">
        <v>-0.1</v>
      </c>
      <c r="D44" s="3">
        <f t="shared" si="0"/>
        <v>-0.27999999999999997</v>
      </c>
      <c r="E44" s="3">
        <f t="shared" si="1"/>
        <v>-63.857142857142861</v>
      </c>
      <c r="F44" s="6">
        <v>955</v>
      </c>
      <c r="G44" s="5">
        <v>1900</v>
      </c>
    </row>
    <row r="45" spans="1:7" x14ac:dyDescent="0.2">
      <c r="A45" s="1">
        <v>42094</v>
      </c>
      <c r="B45">
        <v>12.58</v>
      </c>
      <c r="C45" s="3">
        <v>-0.08</v>
      </c>
      <c r="D45" s="3">
        <f t="shared" si="0"/>
        <v>-0.21000000000000002</v>
      </c>
      <c r="E45" s="3">
        <f t="shared" si="1"/>
        <v>-59.904761904761898</v>
      </c>
      <c r="F45" s="6">
        <v>940</v>
      </c>
      <c r="G45" s="5">
        <v>1889</v>
      </c>
    </row>
    <row r="46" spans="1:7" x14ac:dyDescent="0.2">
      <c r="A46" s="1">
        <v>42004</v>
      </c>
      <c r="B46">
        <v>14.83</v>
      </c>
      <c r="C46" s="3">
        <v>-0.06</v>
      </c>
      <c r="D46" s="3">
        <f t="shared" si="0"/>
        <v>-0.16</v>
      </c>
      <c r="E46" s="3">
        <f t="shared" si="1"/>
        <v>-92.6875</v>
      </c>
      <c r="F46" s="6">
        <v>957</v>
      </c>
      <c r="G46" s="5">
        <v>1868</v>
      </c>
    </row>
    <row r="47" spans="1:7" x14ac:dyDescent="0.2">
      <c r="A47" s="1">
        <v>41912</v>
      </c>
      <c r="B47">
        <v>16.18</v>
      </c>
      <c r="C47" s="3">
        <v>-0.04</v>
      </c>
      <c r="D47" s="3">
        <f t="shared" si="0"/>
        <v>-0.1</v>
      </c>
      <c r="E47" s="3">
        <f t="shared" si="1"/>
        <v>-161.79999999999998</v>
      </c>
      <c r="F47" s="6">
        <v>852</v>
      </c>
      <c r="G47" s="5">
        <v>1874</v>
      </c>
    </row>
    <row r="48" spans="1:7" x14ac:dyDescent="0.2">
      <c r="A48" s="1">
        <v>41820</v>
      </c>
      <c r="B48">
        <v>16</v>
      </c>
      <c r="C48" s="3">
        <v>-0.03</v>
      </c>
      <c r="D48" s="3">
        <f t="shared" si="0"/>
        <v>-0.08</v>
      </c>
      <c r="E48" s="3">
        <f t="shared" si="1"/>
        <v>-200</v>
      </c>
      <c r="F48" s="6">
        <v>769</v>
      </c>
      <c r="G48" s="5">
        <v>1864</v>
      </c>
    </row>
    <row r="49" spans="1:7" x14ac:dyDescent="0.2">
      <c r="A49" s="1">
        <v>41729</v>
      </c>
      <c r="B49">
        <v>13.9</v>
      </c>
      <c r="C49" s="3">
        <v>-0.03</v>
      </c>
      <c r="D49" s="3">
        <f t="shared" si="0"/>
        <v>-7.0000000000000007E-2</v>
      </c>
      <c r="E49" s="3">
        <f t="shared" si="1"/>
        <v>-198.57142857142856</v>
      </c>
      <c r="F49" s="6">
        <v>621</v>
      </c>
      <c r="G49" s="5">
        <v>1852</v>
      </c>
    </row>
    <row r="50" spans="1:7" x14ac:dyDescent="0.2">
      <c r="A50" s="1">
        <v>41639</v>
      </c>
      <c r="B50">
        <v>10.029999999999999</v>
      </c>
      <c r="C50" s="3">
        <v>0</v>
      </c>
      <c r="D50" s="3">
        <f t="shared" si="0"/>
        <v>-0.04</v>
      </c>
      <c r="E50" s="3">
        <f t="shared" si="1"/>
        <v>-250.74999999999997</v>
      </c>
      <c r="F50" s="6">
        <v>615</v>
      </c>
      <c r="G50" s="5">
        <v>1791</v>
      </c>
    </row>
    <row r="51" spans="1:7" x14ac:dyDescent="0.2">
      <c r="A51" s="1">
        <v>41547</v>
      </c>
      <c r="B51">
        <v>12.89</v>
      </c>
      <c r="C51" s="3">
        <v>-0.02</v>
      </c>
      <c r="D51" s="3">
        <f t="shared" si="0"/>
        <v>-0.09</v>
      </c>
      <c r="E51" s="3">
        <f t="shared" si="1"/>
        <v>-143.22222222222223</v>
      </c>
      <c r="F51" s="6">
        <v>431</v>
      </c>
      <c r="G51" s="5">
        <v>1828</v>
      </c>
    </row>
    <row r="52" spans="1:7" x14ac:dyDescent="0.2">
      <c r="A52" s="1">
        <v>41455</v>
      </c>
      <c r="B52">
        <v>7.16</v>
      </c>
      <c r="C52" s="3">
        <v>-0.02</v>
      </c>
      <c r="D52" s="3">
        <f t="shared" si="0"/>
        <v>-0.14000000000000001</v>
      </c>
      <c r="E52" s="3">
        <f t="shared" si="1"/>
        <v>-51.142857142857139</v>
      </c>
      <c r="F52" s="6">
        <v>405</v>
      </c>
      <c r="G52" s="5">
        <v>1773</v>
      </c>
    </row>
    <row r="53" spans="1:7" x14ac:dyDescent="0.2">
      <c r="A53" s="1">
        <v>41364</v>
      </c>
      <c r="B53">
        <v>2.5299999999999998</v>
      </c>
      <c r="C53" s="3">
        <v>0</v>
      </c>
      <c r="D53" s="3">
        <f t="shared" si="0"/>
        <v>-0.19</v>
      </c>
      <c r="E53" s="3">
        <f t="shared" si="1"/>
        <v>-13.315789473684209</v>
      </c>
      <c r="F53" s="6">
        <v>562</v>
      </c>
      <c r="G53" s="5">
        <v>1864</v>
      </c>
    </row>
    <row r="54" spans="1:7" x14ac:dyDescent="0.2">
      <c r="A54" s="1">
        <v>41274</v>
      </c>
      <c r="B54">
        <v>2.2599999999999998</v>
      </c>
      <c r="C54" s="3">
        <v>-0.05</v>
      </c>
      <c r="D54" s="3">
        <f t="shared" si="0"/>
        <v>-0.25</v>
      </c>
      <c r="E54" s="3">
        <f t="shared" si="1"/>
        <v>-9.0399999999999991</v>
      </c>
      <c r="F54" s="6">
        <v>306</v>
      </c>
      <c r="G54" s="5">
        <v>1610</v>
      </c>
    </row>
    <row r="55" spans="1:7" x14ac:dyDescent="0.2">
      <c r="A55" s="1">
        <v>41182</v>
      </c>
      <c r="B55">
        <v>1.95</v>
      </c>
      <c r="C55" s="3">
        <v>-7.0000000000000007E-2</v>
      </c>
      <c r="D55" s="3">
        <f t="shared" si="0"/>
        <v>-0.25</v>
      </c>
      <c r="E55" s="3">
        <f t="shared" si="1"/>
        <v>-7.8</v>
      </c>
      <c r="F55" s="6">
        <v>50</v>
      </c>
      <c r="G55" s="5">
        <v>1583</v>
      </c>
    </row>
    <row r="56" spans="1:7" x14ac:dyDescent="0.2">
      <c r="A56" s="1">
        <v>41090</v>
      </c>
      <c r="B56">
        <v>2.09</v>
      </c>
      <c r="C56" s="3">
        <v>-7.0000000000000007E-2</v>
      </c>
      <c r="D56" s="3">
        <f t="shared" si="0"/>
        <v>-0.22</v>
      </c>
      <c r="E56" s="3">
        <f t="shared" si="1"/>
        <v>-9.5</v>
      </c>
      <c r="F56" s="6">
        <v>27</v>
      </c>
      <c r="G56" s="5">
        <v>1579</v>
      </c>
    </row>
    <row r="57" spans="1:7" x14ac:dyDescent="0.2">
      <c r="A57" s="1">
        <v>40999</v>
      </c>
      <c r="B57">
        <v>2.48</v>
      </c>
      <c r="C57" s="3">
        <v>-0.06</v>
      </c>
      <c r="D57" s="3">
        <f t="shared" si="0"/>
        <v>-0.19</v>
      </c>
      <c r="E57" s="3">
        <f t="shared" si="1"/>
        <v>-13.052631578947368</v>
      </c>
      <c r="F57" s="6">
        <v>30</v>
      </c>
      <c r="G57" s="5">
        <v>1572</v>
      </c>
    </row>
    <row r="58" spans="1:7" x14ac:dyDescent="0.2">
      <c r="A58" s="1">
        <v>40908</v>
      </c>
      <c r="B58">
        <v>1.9</v>
      </c>
      <c r="C58" s="3">
        <v>-0.05</v>
      </c>
      <c r="D58" s="3">
        <f t="shared" si="0"/>
        <v>-0.16</v>
      </c>
      <c r="E58" s="3">
        <f t="shared" si="1"/>
        <v>-11.875</v>
      </c>
      <c r="F58" s="6">
        <v>39</v>
      </c>
      <c r="G58" s="5">
        <v>1506</v>
      </c>
    </row>
    <row r="59" spans="1:7" x14ac:dyDescent="0.2">
      <c r="A59" s="1">
        <v>40816</v>
      </c>
      <c r="B59">
        <v>1.63</v>
      </c>
      <c r="C59" s="3">
        <v>-0.04</v>
      </c>
      <c r="D59" s="3"/>
      <c r="E59" s="3"/>
      <c r="F59" s="6">
        <v>58</v>
      </c>
      <c r="G59" s="5">
        <v>1561</v>
      </c>
    </row>
    <row r="60" spans="1:7" x14ac:dyDescent="0.2">
      <c r="A60" s="1">
        <v>40724</v>
      </c>
      <c r="B60">
        <v>1.94</v>
      </c>
      <c r="C60" s="3">
        <v>-0.04</v>
      </c>
      <c r="D60" s="3"/>
      <c r="E60" s="3"/>
      <c r="F60" s="6">
        <v>58</v>
      </c>
      <c r="G60" s="5">
        <v>1466</v>
      </c>
    </row>
    <row r="61" spans="1:7" x14ac:dyDescent="0.2">
      <c r="A61" s="1">
        <v>40633</v>
      </c>
      <c r="B61">
        <v>1.85</v>
      </c>
      <c r="C61" s="3">
        <v>-0.03</v>
      </c>
      <c r="D61" s="3"/>
      <c r="E61" s="3"/>
      <c r="F61" s="6">
        <v>49</v>
      </c>
      <c r="G61" s="5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AAPL</vt:lpstr>
      <vt:lpstr>MSFT</vt:lpstr>
      <vt:lpstr>NVDA</vt:lpstr>
      <vt:lpstr>GOOGL</vt:lpstr>
      <vt:lpstr>AMZN</vt:lpstr>
      <vt:lpstr>NFLX</vt:lpstr>
      <vt:lpstr>META</vt:lpstr>
      <vt:lpstr>AVGO</vt:lpstr>
      <vt:lpstr>TSLA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2026-02-11T15:40:08Z</dcterms:created>
  <dcterms:modified xsi:type="dcterms:W3CDTF">2026-02-11T18:19:38Z</dcterms:modified>
</cp:coreProperties>
</file>